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18010795/Downloads/"/>
    </mc:Choice>
  </mc:AlternateContent>
  <xr:revisionPtr revIDLastSave="0" documentId="8_{26CACE8F-F295-DE4C-A8E5-2695EFBCA2BE}" xr6:coauthVersionLast="47" xr6:coauthVersionMax="47" xr10:uidLastSave="{00000000-0000-0000-0000-000000000000}"/>
  <bookViews>
    <workbookView xWindow="-19280" yWindow="-28140" windowWidth="32900" windowHeight="25000" tabRatio="500" firstSheet="1" activeTab="2" xr2:uid="{00000000-000D-0000-FFFF-FFFF00000000}"/>
  </bookViews>
  <sheets>
    <sheet name="Instructions" sheetId="1" r:id="rId1"/>
    <sheet name="Dashboard" sheetId="2" r:id="rId2"/>
    <sheet name="Items" sheetId="3" r:id="rId3"/>
    <sheet name="Receiving" sheetId="4" r:id="rId4"/>
    <sheet name="Shipping" sheetId="5" r:id="rId5"/>
    <sheet name="Settings" sheetId="6" r:id="rId6"/>
  </sheets>
  <definedNames>
    <definedName name="_xlnm._FilterDatabase" localSheetId="3" hidden="1">Receiving!$A$4:$N$1004</definedName>
    <definedName name="_xlnm._FilterDatabase" localSheetId="4" hidden="1">Shipping!$A$4:$D$1004</definedName>
    <definedName name="Age30">Settings!$B$5</definedName>
    <definedName name="Age60">Settings!$B$6</definedName>
    <definedName name="Age90">Settings!$B$7</definedName>
    <definedName name="OpenAge">Settings!$B$13</definedName>
    <definedName name="OpenVal">Settings!$B$12</definedName>
    <definedName name="ShipDateUnits">Settings!$B$11</definedName>
    <definedName name="StartDate">Settings!$B$4</definedName>
    <definedName name="TotalShipped">Settings!$B$10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2" l="1"/>
  <c r="B22" i="2"/>
  <c r="B23" i="2"/>
  <c r="B24" i="2"/>
  <c r="B25" i="2"/>
  <c r="B26" i="2"/>
  <c r="B27" i="2"/>
  <c r="B28" i="2"/>
  <c r="B29" i="2"/>
  <c r="B30" i="2"/>
  <c r="B31" i="2"/>
  <c r="B32" i="2"/>
  <c r="B33" i="2"/>
  <c r="B13" i="6"/>
  <c r="B11" i="6"/>
  <c r="B10" i="6"/>
  <c r="J19" i="3" s="1"/>
  <c r="H1004" i="4"/>
  <c r="L1004" i="4" s="1"/>
  <c r="E1004" i="4"/>
  <c r="F1004" i="4" s="1"/>
  <c r="C1004" i="4"/>
  <c r="H1003" i="4"/>
  <c r="L1003" i="4" s="1"/>
  <c r="E1003" i="4"/>
  <c r="C1003" i="4"/>
  <c r="H1002" i="4"/>
  <c r="I1002" i="4" s="1"/>
  <c r="E1002" i="4"/>
  <c r="F1002" i="4" s="1"/>
  <c r="C1002" i="4"/>
  <c r="H1001" i="4"/>
  <c r="L1001" i="4" s="1"/>
  <c r="E1001" i="4"/>
  <c r="C1001" i="4"/>
  <c r="H1000" i="4"/>
  <c r="M1000" i="4" s="1"/>
  <c r="E1000" i="4"/>
  <c r="F1000" i="4" s="1"/>
  <c r="C1000" i="4"/>
  <c r="H999" i="4"/>
  <c r="L999" i="4" s="1"/>
  <c r="E999" i="4"/>
  <c r="F999" i="4" s="1"/>
  <c r="C999" i="4"/>
  <c r="H998" i="4"/>
  <c r="E998" i="4"/>
  <c r="F998" i="4" s="1"/>
  <c r="C998" i="4"/>
  <c r="H997" i="4"/>
  <c r="L997" i="4" s="1"/>
  <c r="E997" i="4"/>
  <c r="F997" i="4" s="1"/>
  <c r="C997" i="4"/>
  <c r="H996" i="4"/>
  <c r="E996" i="4"/>
  <c r="F996" i="4" s="1"/>
  <c r="C996" i="4"/>
  <c r="H995" i="4"/>
  <c r="E995" i="4"/>
  <c r="C995" i="4"/>
  <c r="H994" i="4"/>
  <c r="E994" i="4"/>
  <c r="F994" i="4" s="1"/>
  <c r="C994" i="4"/>
  <c r="H993" i="4"/>
  <c r="E993" i="4"/>
  <c r="C993" i="4"/>
  <c r="H992" i="4"/>
  <c r="M992" i="4" s="1"/>
  <c r="E992" i="4"/>
  <c r="F992" i="4" s="1"/>
  <c r="C992" i="4"/>
  <c r="H991" i="4"/>
  <c r="E991" i="4"/>
  <c r="F991" i="4" s="1"/>
  <c r="C991" i="4"/>
  <c r="H990" i="4"/>
  <c r="E990" i="4"/>
  <c r="F990" i="4" s="1"/>
  <c r="C990" i="4"/>
  <c r="H989" i="4"/>
  <c r="L989" i="4" s="1"/>
  <c r="E989" i="4"/>
  <c r="C989" i="4"/>
  <c r="H988" i="4"/>
  <c r="M988" i="4" s="1"/>
  <c r="E988" i="4"/>
  <c r="F988" i="4" s="1"/>
  <c r="C988" i="4"/>
  <c r="H987" i="4"/>
  <c r="E987" i="4"/>
  <c r="F987" i="4" s="1"/>
  <c r="C987" i="4"/>
  <c r="H986" i="4"/>
  <c r="E986" i="4"/>
  <c r="F986" i="4" s="1"/>
  <c r="C986" i="4"/>
  <c r="H985" i="4"/>
  <c r="E985" i="4"/>
  <c r="F985" i="4" s="1"/>
  <c r="C985" i="4"/>
  <c r="H984" i="4"/>
  <c r="M984" i="4" s="1"/>
  <c r="E984" i="4"/>
  <c r="F984" i="4" s="1"/>
  <c r="C984" i="4"/>
  <c r="H983" i="4"/>
  <c r="E983" i="4"/>
  <c r="F983" i="4" s="1"/>
  <c r="C983" i="4"/>
  <c r="H982" i="4"/>
  <c r="E982" i="4"/>
  <c r="F982" i="4" s="1"/>
  <c r="C982" i="4"/>
  <c r="H981" i="4"/>
  <c r="E981" i="4"/>
  <c r="C981" i="4"/>
  <c r="H980" i="4"/>
  <c r="E980" i="4"/>
  <c r="F980" i="4" s="1"/>
  <c r="C980" i="4"/>
  <c r="H979" i="4"/>
  <c r="E979" i="4"/>
  <c r="F979" i="4" s="1"/>
  <c r="C979" i="4"/>
  <c r="H978" i="4"/>
  <c r="I978" i="4" s="1"/>
  <c r="E978" i="4"/>
  <c r="F978" i="4" s="1"/>
  <c r="C978" i="4"/>
  <c r="H977" i="4"/>
  <c r="E977" i="4"/>
  <c r="F977" i="4" s="1"/>
  <c r="C977" i="4"/>
  <c r="H976" i="4"/>
  <c r="M976" i="4" s="1"/>
  <c r="E976" i="4"/>
  <c r="F976" i="4" s="1"/>
  <c r="C976" i="4"/>
  <c r="H975" i="4"/>
  <c r="L975" i="4" s="1"/>
  <c r="E975" i="4"/>
  <c r="F975" i="4" s="1"/>
  <c r="C975" i="4"/>
  <c r="H974" i="4"/>
  <c r="L974" i="4" s="1"/>
  <c r="E974" i="4"/>
  <c r="F974" i="4" s="1"/>
  <c r="C974" i="4"/>
  <c r="H973" i="4"/>
  <c r="E973" i="4"/>
  <c r="F973" i="4" s="1"/>
  <c r="C973" i="4"/>
  <c r="H972" i="4"/>
  <c r="E972" i="4"/>
  <c r="F972" i="4" s="1"/>
  <c r="C972" i="4"/>
  <c r="H971" i="4"/>
  <c r="N971" i="4" s="1"/>
  <c r="E971" i="4"/>
  <c r="F971" i="4" s="1"/>
  <c r="C971" i="4"/>
  <c r="H970" i="4"/>
  <c r="E970" i="4"/>
  <c r="F970" i="4" s="1"/>
  <c r="C970" i="4"/>
  <c r="H969" i="4"/>
  <c r="E969" i="4"/>
  <c r="F969" i="4" s="1"/>
  <c r="C969" i="4"/>
  <c r="H968" i="4"/>
  <c r="E968" i="4"/>
  <c r="F968" i="4" s="1"/>
  <c r="C968" i="4"/>
  <c r="H967" i="4"/>
  <c r="N967" i="4" s="1"/>
  <c r="E967" i="4"/>
  <c r="F967" i="4" s="1"/>
  <c r="C967" i="4"/>
  <c r="H966" i="4"/>
  <c r="E966" i="4"/>
  <c r="F966" i="4" s="1"/>
  <c r="C966" i="4"/>
  <c r="H965" i="4"/>
  <c r="N965" i="4" s="1"/>
  <c r="E965" i="4"/>
  <c r="F965" i="4" s="1"/>
  <c r="C965" i="4"/>
  <c r="H964" i="4"/>
  <c r="I964" i="4" s="1"/>
  <c r="E964" i="4"/>
  <c r="F964" i="4" s="1"/>
  <c r="C964" i="4"/>
  <c r="H963" i="4"/>
  <c r="N963" i="4" s="1"/>
  <c r="E963" i="4"/>
  <c r="F963" i="4" s="1"/>
  <c r="C963" i="4"/>
  <c r="H962" i="4"/>
  <c r="N962" i="4" s="1"/>
  <c r="E962" i="4"/>
  <c r="F962" i="4" s="1"/>
  <c r="C962" i="4"/>
  <c r="H961" i="4"/>
  <c r="E961" i="4"/>
  <c r="F961" i="4" s="1"/>
  <c r="C961" i="4"/>
  <c r="H960" i="4"/>
  <c r="L960" i="4" s="1"/>
  <c r="E960" i="4"/>
  <c r="F960" i="4" s="1"/>
  <c r="C960" i="4"/>
  <c r="H959" i="4"/>
  <c r="E959" i="4"/>
  <c r="F959" i="4" s="1"/>
  <c r="C959" i="4"/>
  <c r="H958" i="4"/>
  <c r="E958" i="4"/>
  <c r="F958" i="4" s="1"/>
  <c r="C958" i="4"/>
  <c r="H957" i="4"/>
  <c r="M957" i="4" s="1"/>
  <c r="E957" i="4"/>
  <c r="C957" i="4"/>
  <c r="H956" i="4"/>
  <c r="E956" i="4"/>
  <c r="F956" i="4" s="1"/>
  <c r="C956" i="4"/>
  <c r="H955" i="4"/>
  <c r="M955" i="4" s="1"/>
  <c r="E955" i="4"/>
  <c r="F955" i="4" s="1"/>
  <c r="C955" i="4"/>
  <c r="H954" i="4"/>
  <c r="E954" i="4"/>
  <c r="F954" i="4" s="1"/>
  <c r="C954" i="4"/>
  <c r="H953" i="4"/>
  <c r="E953" i="4"/>
  <c r="C953" i="4"/>
  <c r="H952" i="4"/>
  <c r="M952" i="4" s="1"/>
  <c r="E952" i="4"/>
  <c r="F952" i="4" s="1"/>
  <c r="C952" i="4"/>
  <c r="H951" i="4"/>
  <c r="E951" i="4"/>
  <c r="F951" i="4" s="1"/>
  <c r="C951" i="4"/>
  <c r="H950" i="4"/>
  <c r="N950" i="4" s="1"/>
  <c r="E950" i="4"/>
  <c r="F950" i="4" s="1"/>
  <c r="C950" i="4"/>
  <c r="H949" i="4"/>
  <c r="E949" i="4"/>
  <c r="F949" i="4" s="1"/>
  <c r="C949" i="4"/>
  <c r="H948" i="4"/>
  <c r="E948" i="4"/>
  <c r="F948" i="4" s="1"/>
  <c r="C948" i="4"/>
  <c r="H947" i="4"/>
  <c r="E947" i="4"/>
  <c r="F947" i="4" s="1"/>
  <c r="C947" i="4"/>
  <c r="H946" i="4"/>
  <c r="E946" i="4"/>
  <c r="F946" i="4" s="1"/>
  <c r="C946" i="4"/>
  <c r="H945" i="4"/>
  <c r="E945" i="4"/>
  <c r="F945" i="4" s="1"/>
  <c r="C945" i="4"/>
  <c r="H944" i="4"/>
  <c r="E944" i="4"/>
  <c r="F944" i="4" s="1"/>
  <c r="C944" i="4"/>
  <c r="H943" i="4"/>
  <c r="E943" i="4"/>
  <c r="F943" i="4" s="1"/>
  <c r="C943" i="4"/>
  <c r="H942" i="4"/>
  <c r="E942" i="4"/>
  <c r="F942" i="4" s="1"/>
  <c r="C942" i="4"/>
  <c r="H941" i="4"/>
  <c r="E941" i="4"/>
  <c r="F941" i="4" s="1"/>
  <c r="C941" i="4"/>
  <c r="H940" i="4"/>
  <c r="E940" i="4"/>
  <c r="F940" i="4" s="1"/>
  <c r="C940" i="4"/>
  <c r="H939" i="4"/>
  <c r="E939" i="4"/>
  <c r="F939" i="4" s="1"/>
  <c r="C939" i="4"/>
  <c r="H938" i="4"/>
  <c r="E938" i="4"/>
  <c r="F938" i="4" s="1"/>
  <c r="C938" i="4"/>
  <c r="H937" i="4"/>
  <c r="E937" i="4"/>
  <c r="F937" i="4" s="1"/>
  <c r="C937" i="4"/>
  <c r="H936" i="4"/>
  <c r="E936" i="4"/>
  <c r="F936" i="4" s="1"/>
  <c r="C936" i="4"/>
  <c r="H935" i="4"/>
  <c r="E935" i="4"/>
  <c r="F935" i="4" s="1"/>
  <c r="C935" i="4"/>
  <c r="H934" i="4"/>
  <c r="N934" i="4" s="1"/>
  <c r="E934" i="4"/>
  <c r="F934" i="4" s="1"/>
  <c r="C934" i="4"/>
  <c r="H933" i="4"/>
  <c r="E933" i="4"/>
  <c r="F933" i="4" s="1"/>
  <c r="C933" i="4"/>
  <c r="H932" i="4"/>
  <c r="E932" i="4"/>
  <c r="F932" i="4" s="1"/>
  <c r="C932" i="4"/>
  <c r="H931" i="4"/>
  <c r="E931" i="4"/>
  <c r="F931" i="4" s="1"/>
  <c r="C931" i="4"/>
  <c r="H930" i="4"/>
  <c r="E930" i="4"/>
  <c r="F930" i="4" s="1"/>
  <c r="C930" i="4"/>
  <c r="H929" i="4"/>
  <c r="E929" i="4"/>
  <c r="F929" i="4" s="1"/>
  <c r="C929" i="4"/>
  <c r="H928" i="4"/>
  <c r="N928" i="4" s="1"/>
  <c r="E928" i="4"/>
  <c r="F928" i="4" s="1"/>
  <c r="C928" i="4"/>
  <c r="H927" i="4"/>
  <c r="E927" i="4"/>
  <c r="F927" i="4" s="1"/>
  <c r="C927" i="4"/>
  <c r="H926" i="4"/>
  <c r="E926" i="4"/>
  <c r="F926" i="4" s="1"/>
  <c r="C926" i="4"/>
  <c r="H925" i="4"/>
  <c r="E925" i="4"/>
  <c r="F925" i="4" s="1"/>
  <c r="C925" i="4"/>
  <c r="H924" i="4"/>
  <c r="E924" i="4"/>
  <c r="F924" i="4" s="1"/>
  <c r="C924" i="4"/>
  <c r="H923" i="4"/>
  <c r="E923" i="4"/>
  <c r="F923" i="4" s="1"/>
  <c r="C923" i="4"/>
  <c r="H922" i="4"/>
  <c r="E922" i="4"/>
  <c r="F922" i="4" s="1"/>
  <c r="C922" i="4"/>
  <c r="H921" i="4"/>
  <c r="E921" i="4"/>
  <c r="F921" i="4" s="1"/>
  <c r="C921" i="4"/>
  <c r="H920" i="4"/>
  <c r="E920" i="4"/>
  <c r="F920" i="4" s="1"/>
  <c r="C920" i="4"/>
  <c r="H919" i="4"/>
  <c r="M919" i="4" s="1"/>
  <c r="E919" i="4"/>
  <c r="F919" i="4" s="1"/>
  <c r="C919" i="4"/>
  <c r="H918" i="4"/>
  <c r="E918" i="4"/>
  <c r="F918" i="4" s="1"/>
  <c r="C918" i="4"/>
  <c r="H917" i="4"/>
  <c r="M917" i="4" s="1"/>
  <c r="E917" i="4"/>
  <c r="F917" i="4" s="1"/>
  <c r="C917" i="4"/>
  <c r="H916" i="4"/>
  <c r="E916" i="4"/>
  <c r="F916" i="4" s="1"/>
  <c r="C916" i="4"/>
  <c r="H915" i="4"/>
  <c r="M915" i="4" s="1"/>
  <c r="E915" i="4"/>
  <c r="F915" i="4" s="1"/>
  <c r="C915" i="4"/>
  <c r="H914" i="4"/>
  <c r="E914" i="4"/>
  <c r="F914" i="4" s="1"/>
  <c r="C914" i="4"/>
  <c r="H913" i="4"/>
  <c r="M913" i="4" s="1"/>
  <c r="E913" i="4"/>
  <c r="F913" i="4" s="1"/>
  <c r="C913" i="4"/>
  <c r="H912" i="4"/>
  <c r="E912" i="4"/>
  <c r="F912" i="4" s="1"/>
  <c r="C912" i="4"/>
  <c r="H911" i="4"/>
  <c r="M911" i="4" s="1"/>
  <c r="E911" i="4"/>
  <c r="F911" i="4" s="1"/>
  <c r="C911" i="4"/>
  <c r="H910" i="4"/>
  <c r="L910" i="4" s="1"/>
  <c r="E910" i="4"/>
  <c r="F910" i="4" s="1"/>
  <c r="C910" i="4"/>
  <c r="H909" i="4"/>
  <c r="M909" i="4" s="1"/>
  <c r="E909" i="4"/>
  <c r="F909" i="4" s="1"/>
  <c r="C909" i="4"/>
  <c r="H908" i="4"/>
  <c r="E908" i="4"/>
  <c r="F908" i="4" s="1"/>
  <c r="C908" i="4"/>
  <c r="H907" i="4"/>
  <c r="M907" i="4" s="1"/>
  <c r="E907" i="4"/>
  <c r="F907" i="4" s="1"/>
  <c r="C907" i="4"/>
  <c r="H906" i="4"/>
  <c r="E906" i="4"/>
  <c r="F906" i="4" s="1"/>
  <c r="C906" i="4"/>
  <c r="H905" i="4"/>
  <c r="M905" i="4" s="1"/>
  <c r="E905" i="4"/>
  <c r="F905" i="4" s="1"/>
  <c r="C905" i="4"/>
  <c r="H904" i="4"/>
  <c r="E904" i="4"/>
  <c r="C904" i="4"/>
  <c r="H903" i="4"/>
  <c r="E903" i="4"/>
  <c r="F903" i="4" s="1"/>
  <c r="C903" i="4"/>
  <c r="H902" i="4"/>
  <c r="L902" i="4" s="1"/>
  <c r="E902" i="4"/>
  <c r="C902" i="4"/>
  <c r="H901" i="4"/>
  <c r="E901" i="4"/>
  <c r="F901" i="4" s="1"/>
  <c r="C901" i="4"/>
  <c r="H900" i="4"/>
  <c r="L900" i="4" s="1"/>
  <c r="E900" i="4"/>
  <c r="F900" i="4" s="1"/>
  <c r="C900" i="4"/>
  <c r="H899" i="4"/>
  <c r="E899" i="4"/>
  <c r="F899" i="4" s="1"/>
  <c r="C899" i="4"/>
  <c r="H898" i="4"/>
  <c r="E898" i="4"/>
  <c r="F898" i="4" s="1"/>
  <c r="C898" i="4"/>
  <c r="H897" i="4"/>
  <c r="N897" i="4" s="1"/>
  <c r="E897" i="4"/>
  <c r="F897" i="4" s="1"/>
  <c r="C897" i="4"/>
  <c r="H896" i="4"/>
  <c r="E896" i="4"/>
  <c r="F896" i="4" s="1"/>
  <c r="C896" i="4"/>
  <c r="H895" i="4"/>
  <c r="N895" i="4" s="1"/>
  <c r="E895" i="4"/>
  <c r="F895" i="4" s="1"/>
  <c r="C895" i="4"/>
  <c r="H894" i="4"/>
  <c r="E894" i="4"/>
  <c r="F894" i="4" s="1"/>
  <c r="C894" i="4"/>
  <c r="H893" i="4"/>
  <c r="E893" i="4"/>
  <c r="F893" i="4" s="1"/>
  <c r="C893" i="4"/>
  <c r="H892" i="4"/>
  <c r="L892" i="4" s="1"/>
  <c r="E892" i="4"/>
  <c r="F892" i="4" s="1"/>
  <c r="C892" i="4"/>
  <c r="H891" i="4"/>
  <c r="E891" i="4"/>
  <c r="F891" i="4" s="1"/>
  <c r="C891" i="4"/>
  <c r="H890" i="4"/>
  <c r="M890" i="4" s="1"/>
  <c r="E890" i="4"/>
  <c r="F890" i="4" s="1"/>
  <c r="C890" i="4"/>
  <c r="H889" i="4"/>
  <c r="E889" i="4"/>
  <c r="F889" i="4" s="1"/>
  <c r="C889" i="4"/>
  <c r="H888" i="4"/>
  <c r="M888" i="4" s="1"/>
  <c r="E888" i="4"/>
  <c r="C888" i="4"/>
  <c r="H887" i="4"/>
  <c r="E887" i="4"/>
  <c r="F887" i="4" s="1"/>
  <c r="C887" i="4"/>
  <c r="H886" i="4"/>
  <c r="L886" i="4" s="1"/>
  <c r="E886" i="4"/>
  <c r="F886" i="4" s="1"/>
  <c r="C886" i="4"/>
  <c r="H885" i="4"/>
  <c r="E885" i="4"/>
  <c r="F885" i="4" s="1"/>
  <c r="C885" i="4"/>
  <c r="H884" i="4"/>
  <c r="L884" i="4" s="1"/>
  <c r="E884" i="4"/>
  <c r="F884" i="4" s="1"/>
  <c r="C884" i="4"/>
  <c r="H883" i="4"/>
  <c r="L883" i="4" s="1"/>
  <c r="E883" i="4"/>
  <c r="F883" i="4" s="1"/>
  <c r="C883" i="4"/>
  <c r="H882" i="4"/>
  <c r="E882" i="4"/>
  <c r="C882" i="4"/>
  <c r="H881" i="4"/>
  <c r="E881" i="4"/>
  <c r="F881" i="4" s="1"/>
  <c r="C881" i="4"/>
  <c r="H880" i="4"/>
  <c r="N880" i="4" s="1"/>
  <c r="E880" i="4"/>
  <c r="C880" i="4"/>
  <c r="H879" i="4"/>
  <c r="E879" i="4"/>
  <c r="F879" i="4" s="1"/>
  <c r="C879" i="4"/>
  <c r="H878" i="4"/>
  <c r="I878" i="4" s="1"/>
  <c r="E878" i="4"/>
  <c r="C878" i="4"/>
  <c r="H877" i="4"/>
  <c r="L877" i="4" s="1"/>
  <c r="E877" i="4"/>
  <c r="C877" i="4"/>
  <c r="H876" i="4"/>
  <c r="E876" i="4"/>
  <c r="F876" i="4" s="1"/>
  <c r="C876" i="4"/>
  <c r="H875" i="4"/>
  <c r="L875" i="4" s="1"/>
  <c r="E875" i="4"/>
  <c r="F875" i="4" s="1"/>
  <c r="C875" i="4"/>
  <c r="H874" i="4"/>
  <c r="E874" i="4"/>
  <c r="C874" i="4"/>
  <c r="H873" i="4"/>
  <c r="M873" i="4" s="1"/>
  <c r="E873" i="4"/>
  <c r="F873" i="4" s="1"/>
  <c r="C873" i="4"/>
  <c r="H872" i="4"/>
  <c r="E872" i="4"/>
  <c r="C872" i="4"/>
  <c r="H871" i="4"/>
  <c r="L871" i="4" s="1"/>
  <c r="E871" i="4"/>
  <c r="F871" i="4" s="1"/>
  <c r="C871" i="4"/>
  <c r="H870" i="4"/>
  <c r="N870" i="4" s="1"/>
  <c r="E870" i="4"/>
  <c r="C870" i="4"/>
  <c r="H869" i="4"/>
  <c r="L869" i="4" s="1"/>
  <c r="E869" i="4"/>
  <c r="C869" i="4"/>
  <c r="H868" i="4"/>
  <c r="N868" i="4" s="1"/>
  <c r="E868" i="4"/>
  <c r="C868" i="4"/>
  <c r="H867" i="4"/>
  <c r="I867" i="4" s="1"/>
  <c r="E867" i="4"/>
  <c r="C867" i="4"/>
  <c r="H866" i="4"/>
  <c r="N866" i="4" s="1"/>
  <c r="E866" i="4"/>
  <c r="C866" i="4"/>
  <c r="H865" i="4"/>
  <c r="E865" i="4"/>
  <c r="C865" i="4"/>
  <c r="H864" i="4"/>
  <c r="N864" i="4" s="1"/>
  <c r="E864" i="4"/>
  <c r="C864" i="4"/>
  <c r="H863" i="4"/>
  <c r="E863" i="4"/>
  <c r="C863" i="4"/>
  <c r="H862" i="4"/>
  <c r="N862" i="4" s="1"/>
  <c r="E862" i="4"/>
  <c r="C862" i="4"/>
  <c r="H861" i="4"/>
  <c r="N861" i="4" s="1"/>
  <c r="E861" i="4"/>
  <c r="C861" i="4"/>
  <c r="H860" i="4"/>
  <c r="N860" i="4" s="1"/>
  <c r="E860" i="4"/>
  <c r="C860" i="4"/>
  <c r="H859" i="4"/>
  <c r="L859" i="4" s="1"/>
  <c r="E859" i="4"/>
  <c r="C859" i="4"/>
  <c r="H858" i="4"/>
  <c r="N858" i="4" s="1"/>
  <c r="E858" i="4"/>
  <c r="C858" i="4"/>
  <c r="H857" i="4"/>
  <c r="E857" i="4"/>
  <c r="C857" i="4"/>
  <c r="H856" i="4"/>
  <c r="N856" i="4" s="1"/>
  <c r="E856" i="4"/>
  <c r="F856" i="4" s="1"/>
  <c r="C856" i="4"/>
  <c r="H855" i="4"/>
  <c r="E855" i="4"/>
  <c r="C855" i="4"/>
  <c r="H854" i="4"/>
  <c r="N854" i="4" s="1"/>
  <c r="E854" i="4"/>
  <c r="C854" i="4"/>
  <c r="H853" i="4"/>
  <c r="E853" i="4"/>
  <c r="C853" i="4"/>
  <c r="H852" i="4"/>
  <c r="N852" i="4" s="1"/>
  <c r="E852" i="4"/>
  <c r="C852" i="4"/>
  <c r="H851" i="4"/>
  <c r="E851" i="4"/>
  <c r="C851" i="4"/>
  <c r="H850" i="4"/>
  <c r="N850" i="4" s="1"/>
  <c r="E850" i="4"/>
  <c r="C850" i="4"/>
  <c r="H849" i="4"/>
  <c r="I849" i="4" s="1"/>
  <c r="E849" i="4"/>
  <c r="C849" i="4"/>
  <c r="H848" i="4"/>
  <c r="N848" i="4" s="1"/>
  <c r="E848" i="4"/>
  <c r="F848" i="4" s="1"/>
  <c r="C848" i="4"/>
  <c r="H847" i="4"/>
  <c r="N847" i="4" s="1"/>
  <c r="E847" i="4"/>
  <c r="C847" i="4"/>
  <c r="H846" i="4"/>
  <c r="N846" i="4" s="1"/>
  <c r="E846" i="4"/>
  <c r="C846" i="4"/>
  <c r="H845" i="4"/>
  <c r="L845" i="4" s="1"/>
  <c r="E845" i="4"/>
  <c r="C845" i="4"/>
  <c r="H844" i="4"/>
  <c r="N844" i="4" s="1"/>
  <c r="E844" i="4"/>
  <c r="C844" i="4"/>
  <c r="H843" i="4"/>
  <c r="E843" i="4"/>
  <c r="C843" i="4"/>
  <c r="H842" i="4"/>
  <c r="N842" i="4" s="1"/>
  <c r="E842" i="4"/>
  <c r="C842" i="4"/>
  <c r="H841" i="4"/>
  <c r="E841" i="4"/>
  <c r="C841" i="4"/>
  <c r="H840" i="4"/>
  <c r="N840" i="4" s="1"/>
  <c r="E840" i="4"/>
  <c r="F840" i="4" s="1"/>
  <c r="C840" i="4"/>
  <c r="H839" i="4"/>
  <c r="N839" i="4" s="1"/>
  <c r="E839" i="4"/>
  <c r="C839" i="4"/>
  <c r="H838" i="4"/>
  <c r="N838" i="4" s="1"/>
  <c r="E838" i="4"/>
  <c r="C838" i="4"/>
  <c r="H837" i="4"/>
  <c r="N837" i="4" s="1"/>
  <c r="E837" i="4"/>
  <c r="C837" i="4"/>
  <c r="H836" i="4"/>
  <c r="N836" i="4" s="1"/>
  <c r="E836" i="4"/>
  <c r="C836" i="4"/>
  <c r="H835" i="4"/>
  <c r="J835" i="4" s="1"/>
  <c r="E835" i="4"/>
  <c r="C835" i="4"/>
  <c r="H834" i="4"/>
  <c r="N834" i="4" s="1"/>
  <c r="E834" i="4"/>
  <c r="C834" i="4"/>
  <c r="H833" i="4"/>
  <c r="E833" i="4"/>
  <c r="C833" i="4"/>
  <c r="H832" i="4"/>
  <c r="N832" i="4" s="1"/>
  <c r="E832" i="4"/>
  <c r="C832" i="4"/>
  <c r="H831" i="4"/>
  <c r="E831" i="4"/>
  <c r="C831" i="4"/>
  <c r="H830" i="4"/>
  <c r="N830" i="4" s="1"/>
  <c r="E830" i="4"/>
  <c r="C830" i="4"/>
  <c r="H829" i="4"/>
  <c r="E829" i="4"/>
  <c r="C829" i="4"/>
  <c r="H828" i="4"/>
  <c r="N828" i="4" s="1"/>
  <c r="E828" i="4"/>
  <c r="C828" i="4"/>
  <c r="H827" i="4"/>
  <c r="L827" i="4" s="1"/>
  <c r="E827" i="4"/>
  <c r="C827" i="4"/>
  <c r="H826" i="4"/>
  <c r="N826" i="4" s="1"/>
  <c r="E826" i="4"/>
  <c r="C826" i="4"/>
  <c r="H825" i="4"/>
  <c r="E825" i="4"/>
  <c r="C825" i="4"/>
  <c r="H824" i="4"/>
  <c r="N824" i="4" s="1"/>
  <c r="E824" i="4"/>
  <c r="F824" i="4" s="1"/>
  <c r="C824" i="4"/>
  <c r="H823" i="4"/>
  <c r="M823" i="4" s="1"/>
  <c r="E823" i="4"/>
  <c r="C823" i="4"/>
  <c r="H822" i="4"/>
  <c r="N822" i="4" s="1"/>
  <c r="E822" i="4"/>
  <c r="C822" i="4"/>
  <c r="H821" i="4"/>
  <c r="E821" i="4"/>
  <c r="C821" i="4"/>
  <c r="H820" i="4"/>
  <c r="N820" i="4" s="1"/>
  <c r="E820" i="4"/>
  <c r="C820" i="4"/>
  <c r="H819" i="4"/>
  <c r="E819" i="4"/>
  <c r="C819" i="4"/>
  <c r="H818" i="4"/>
  <c r="E818" i="4"/>
  <c r="F818" i="4" s="1"/>
  <c r="C818" i="4"/>
  <c r="H817" i="4"/>
  <c r="E817" i="4"/>
  <c r="C817" i="4"/>
  <c r="H816" i="4"/>
  <c r="E816" i="4"/>
  <c r="F816" i="4" s="1"/>
  <c r="C816" i="4"/>
  <c r="H815" i="4"/>
  <c r="E815" i="4"/>
  <c r="C815" i="4"/>
  <c r="H814" i="4"/>
  <c r="E814" i="4"/>
  <c r="F814" i="4" s="1"/>
  <c r="C814" i="4"/>
  <c r="H813" i="4"/>
  <c r="M813" i="4" s="1"/>
  <c r="E813" i="4"/>
  <c r="C813" i="4"/>
  <c r="H812" i="4"/>
  <c r="L812" i="4" s="1"/>
  <c r="E812" i="4"/>
  <c r="F812" i="4" s="1"/>
  <c r="C812" i="4"/>
  <c r="H811" i="4"/>
  <c r="E811" i="4"/>
  <c r="C811" i="4"/>
  <c r="H810" i="4"/>
  <c r="E810" i="4"/>
  <c r="F810" i="4" s="1"/>
  <c r="C810" i="4"/>
  <c r="H809" i="4"/>
  <c r="E809" i="4"/>
  <c r="C809" i="4"/>
  <c r="H808" i="4"/>
  <c r="E808" i="4"/>
  <c r="F808" i="4" s="1"/>
  <c r="C808" i="4"/>
  <c r="H807" i="4"/>
  <c r="N807" i="4" s="1"/>
  <c r="E807" i="4"/>
  <c r="C807" i="4"/>
  <c r="H806" i="4"/>
  <c r="L806" i="4" s="1"/>
  <c r="E806" i="4"/>
  <c r="C806" i="4"/>
  <c r="H805" i="4"/>
  <c r="N805" i="4" s="1"/>
  <c r="E805" i="4"/>
  <c r="C805" i="4"/>
  <c r="H804" i="4"/>
  <c r="L804" i="4" s="1"/>
  <c r="E804" i="4"/>
  <c r="C804" i="4"/>
  <c r="H803" i="4"/>
  <c r="L803" i="4" s="1"/>
  <c r="E803" i="4"/>
  <c r="C803" i="4"/>
  <c r="H802" i="4"/>
  <c r="E802" i="4"/>
  <c r="F802" i="4" s="1"/>
  <c r="C802" i="4"/>
  <c r="H801" i="4"/>
  <c r="E801" i="4"/>
  <c r="C801" i="4"/>
  <c r="H800" i="4"/>
  <c r="E800" i="4"/>
  <c r="F800" i="4" s="1"/>
  <c r="C800" i="4"/>
  <c r="H799" i="4"/>
  <c r="N799" i="4" s="1"/>
  <c r="E799" i="4"/>
  <c r="C799" i="4"/>
  <c r="H798" i="4"/>
  <c r="L798" i="4" s="1"/>
  <c r="E798" i="4"/>
  <c r="F798" i="4" s="1"/>
  <c r="C798" i="4"/>
  <c r="H797" i="4"/>
  <c r="J797" i="4" s="1"/>
  <c r="E797" i="4"/>
  <c r="C797" i="4"/>
  <c r="H796" i="4"/>
  <c r="L796" i="4" s="1"/>
  <c r="E796" i="4"/>
  <c r="C796" i="4"/>
  <c r="H795" i="4"/>
  <c r="J795" i="4" s="1"/>
  <c r="E795" i="4"/>
  <c r="C795" i="4"/>
  <c r="H794" i="4"/>
  <c r="E794" i="4"/>
  <c r="F794" i="4" s="1"/>
  <c r="C794" i="4"/>
  <c r="H793" i="4"/>
  <c r="E793" i="4"/>
  <c r="C793" i="4"/>
  <c r="H792" i="4"/>
  <c r="E792" i="4"/>
  <c r="F792" i="4" s="1"/>
  <c r="C792" i="4"/>
  <c r="H791" i="4"/>
  <c r="N791" i="4" s="1"/>
  <c r="E791" i="4"/>
  <c r="F791" i="4" s="1"/>
  <c r="C791" i="4"/>
  <c r="H790" i="4"/>
  <c r="E790" i="4"/>
  <c r="F790" i="4" s="1"/>
  <c r="C790" i="4"/>
  <c r="H789" i="4"/>
  <c r="E789" i="4"/>
  <c r="C789" i="4"/>
  <c r="H788" i="4"/>
  <c r="E788" i="4"/>
  <c r="F788" i="4" s="1"/>
  <c r="C788" i="4"/>
  <c r="H787" i="4"/>
  <c r="E787" i="4"/>
  <c r="C787" i="4"/>
  <c r="H786" i="4"/>
  <c r="L786" i="4" s="1"/>
  <c r="E786" i="4"/>
  <c r="F786" i="4" s="1"/>
  <c r="C786" i="4"/>
  <c r="H785" i="4"/>
  <c r="L785" i="4" s="1"/>
  <c r="E785" i="4"/>
  <c r="F785" i="4" s="1"/>
  <c r="C785" i="4"/>
  <c r="H784" i="4"/>
  <c r="L784" i="4" s="1"/>
  <c r="E784" i="4"/>
  <c r="F784" i="4" s="1"/>
  <c r="C784" i="4"/>
  <c r="H783" i="4"/>
  <c r="E783" i="4"/>
  <c r="F783" i="4" s="1"/>
  <c r="C783" i="4"/>
  <c r="H782" i="4"/>
  <c r="E782" i="4"/>
  <c r="F782" i="4" s="1"/>
  <c r="C782" i="4"/>
  <c r="H781" i="4"/>
  <c r="M781" i="4" s="1"/>
  <c r="E781" i="4"/>
  <c r="C781" i="4"/>
  <c r="H780" i="4"/>
  <c r="E780" i="4"/>
  <c r="F780" i="4" s="1"/>
  <c r="C780" i="4"/>
  <c r="H779" i="4"/>
  <c r="E779" i="4"/>
  <c r="C779" i="4"/>
  <c r="H778" i="4"/>
  <c r="E778" i="4"/>
  <c r="F778" i="4" s="1"/>
  <c r="C778" i="4"/>
  <c r="H777" i="4"/>
  <c r="N777" i="4" s="1"/>
  <c r="E777" i="4"/>
  <c r="C777" i="4"/>
  <c r="H776" i="4"/>
  <c r="E776" i="4"/>
  <c r="F776" i="4" s="1"/>
  <c r="C776" i="4"/>
  <c r="H775" i="4"/>
  <c r="M775" i="4" s="1"/>
  <c r="E775" i="4"/>
  <c r="C775" i="4"/>
  <c r="H774" i="4"/>
  <c r="E774" i="4"/>
  <c r="F774" i="4" s="1"/>
  <c r="C774" i="4"/>
  <c r="H773" i="4"/>
  <c r="E773" i="4"/>
  <c r="C773" i="4"/>
  <c r="H772" i="4"/>
  <c r="E772" i="4"/>
  <c r="F772" i="4" s="1"/>
  <c r="C772" i="4"/>
  <c r="H771" i="4"/>
  <c r="E771" i="4"/>
  <c r="C771" i="4"/>
  <c r="H770" i="4"/>
  <c r="E770" i="4"/>
  <c r="F770" i="4" s="1"/>
  <c r="C770" i="4"/>
  <c r="H769" i="4"/>
  <c r="E769" i="4"/>
  <c r="C769" i="4"/>
  <c r="H768" i="4"/>
  <c r="E768" i="4"/>
  <c r="F768" i="4" s="1"/>
  <c r="C768" i="4"/>
  <c r="H767" i="4"/>
  <c r="E767" i="4"/>
  <c r="C767" i="4"/>
  <c r="H766" i="4"/>
  <c r="E766" i="4"/>
  <c r="F766" i="4" s="1"/>
  <c r="C766" i="4"/>
  <c r="H765" i="4"/>
  <c r="E765" i="4"/>
  <c r="C765" i="4"/>
  <c r="H764" i="4"/>
  <c r="E764" i="4"/>
  <c r="F764" i="4" s="1"/>
  <c r="C764" i="4"/>
  <c r="H763" i="4"/>
  <c r="E763" i="4"/>
  <c r="C763" i="4"/>
  <c r="H762" i="4"/>
  <c r="E762" i="4"/>
  <c r="F762" i="4" s="1"/>
  <c r="C762" i="4"/>
  <c r="H761" i="4"/>
  <c r="E761" i="4"/>
  <c r="C761" i="4"/>
  <c r="H760" i="4"/>
  <c r="E760" i="4"/>
  <c r="F760" i="4" s="1"/>
  <c r="C760" i="4"/>
  <c r="H759" i="4"/>
  <c r="E759" i="4"/>
  <c r="C759" i="4"/>
  <c r="H758" i="4"/>
  <c r="E758" i="4"/>
  <c r="F758" i="4" s="1"/>
  <c r="C758" i="4"/>
  <c r="H757" i="4"/>
  <c r="J757" i="4" s="1"/>
  <c r="E757" i="4"/>
  <c r="C757" i="4"/>
  <c r="H756" i="4"/>
  <c r="E756" i="4"/>
  <c r="F756" i="4" s="1"/>
  <c r="C756" i="4"/>
  <c r="H755" i="4"/>
  <c r="N755" i="4" s="1"/>
  <c r="E755" i="4"/>
  <c r="C755" i="4"/>
  <c r="H754" i="4"/>
  <c r="E754" i="4"/>
  <c r="F754" i="4" s="1"/>
  <c r="C754" i="4"/>
  <c r="H753" i="4"/>
  <c r="N753" i="4" s="1"/>
  <c r="E753" i="4"/>
  <c r="C753" i="4"/>
  <c r="H752" i="4"/>
  <c r="E752" i="4"/>
  <c r="F752" i="4" s="1"/>
  <c r="C752" i="4"/>
  <c r="H751" i="4"/>
  <c r="J751" i="4" s="1"/>
  <c r="E751" i="4"/>
  <c r="C751" i="4"/>
  <c r="H750" i="4"/>
  <c r="E750" i="4"/>
  <c r="F750" i="4" s="1"/>
  <c r="C750" i="4"/>
  <c r="H749" i="4"/>
  <c r="E749" i="4"/>
  <c r="C749" i="4"/>
  <c r="H748" i="4"/>
  <c r="E748" i="4"/>
  <c r="F748" i="4" s="1"/>
  <c r="C748" i="4"/>
  <c r="H747" i="4"/>
  <c r="E747" i="4"/>
  <c r="C747" i="4"/>
  <c r="H746" i="4"/>
  <c r="E746" i="4"/>
  <c r="F746" i="4" s="1"/>
  <c r="C746" i="4"/>
  <c r="H745" i="4"/>
  <c r="E745" i="4"/>
  <c r="C745" i="4"/>
  <c r="H744" i="4"/>
  <c r="E744" i="4"/>
  <c r="F744" i="4" s="1"/>
  <c r="C744" i="4"/>
  <c r="H743" i="4"/>
  <c r="L743" i="4" s="1"/>
  <c r="E743" i="4"/>
  <c r="C743" i="4"/>
  <c r="H742" i="4"/>
  <c r="E742" i="4"/>
  <c r="F742" i="4" s="1"/>
  <c r="C742" i="4"/>
  <c r="H741" i="4"/>
  <c r="N741" i="4" s="1"/>
  <c r="E741" i="4"/>
  <c r="C741" i="4"/>
  <c r="H740" i="4"/>
  <c r="E740" i="4"/>
  <c r="F740" i="4" s="1"/>
  <c r="C740" i="4"/>
  <c r="H739" i="4"/>
  <c r="M739" i="4" s="1"/>
  <c r="E739" i="4"/>
  <c r="C739" i="4"/>
  <c r="H738" i="4"/>
  <c r="E738" i="4"/>
  <c r="F738" i="4" s="1"/>
  <c r="C738" i="4"/>
  <c r="H737" i="4"/>
  <c r="E737" i="4"/>
  <c r="C737" i="4"/>
  <c r="H736" i="4"/>
  <c r="E736" i="4"/>
  <c r="F736" i="4" s="1"/>
  <c r="C736" i="4"/>
  <c r="H735" i="4"/>
  <c r="E735" i="4"/>
  <c r="C735" i="4"/>
  <c r="H734" i="4"/>
  <c r="E734" i="4"/>
  <c r="F734" i="4" s="1"/>
  <c r="C734" i="4"/>
  <c r="H733" i="4"/>
  <c r="L733" i="4" s="1"/>
  <c r="E733" i="4"/>
  <c r="C733" i="4"/>
  <c r="H732" i="4"/>
  <c r="E732" i="4"/>
  <c r="F732" i="4" s="1"/>
  <c r="C732" i="4"/>
  <c r="H731" i="4"/>
  <c r="N731" i="4" s="1"/>
  <c r="E731" i="4"/>
  <c r="C731" i="4"/>
  <c r="H730" i="4"/>
  <c r="E730" i="4"/>
  <c r="F730" i="4" s="1"/>
  <c r="C730" i="4"/>
  <c r="H729" i="4"/>
  <c r="E729" i="4"/>
  <c r="C729" i="4"/>
  <c r="H728" i="4"/>
  <c r="E728" i="4"/>
  <c r="F728" i="4" s="1"/>
  <c r="C728" i="4"/>
  <c r="H727" i="4"/>
  <c r="E727" i="4"/>
  <c r="C727" i="4"/>
  <c r="H726" i="4"/>
  <c r="L726" i="4" s="1"/>
  <c r="E726" i="4"/>
  <c r="F726" i="4" s="1"/>
  <c r="C726" i="4"/>
  <c r="H725" i="4"/>
  <c r="E725" i="4"/>
  <c r="C725" i="4"/>
  <c r="H724" i="4"/>
  <c r="L724" i="4" s="1"/>
  <c r="E724" i="4"/>
  <c r="F724" i="4" s="1"/>
  <c r="C724" i="4"/>
  <c r="H723" i="4"/>
  <c r="E723" i="4"/>
  <c r="C723" i="4"/>
  <c r="H722" i="4"/>
  <c r="E722" i="4"/>
  <c r="F722" i="4" s="1"/>
  <c r="C722" i="4"/>
  <c r="H721" i="4"/>
  <c r="E721" i="4"/>
  <c r="C721" i="4"/>
  <c r="H720" i="4"/>
  <c r="E720" i="4"/>
  <c r="F720" i="4" s="1"/>
  <c r="C720" i="4"/>
  <c r="H719" i="4"/>
  <c r="L719" i="4" s="1"/>
  <c r="E719" i="4"/>
  <c r="C719" i="4"/>
  <c r="H718" i="4"/>
  <c r="L718" i="4" s="1"/>
  <c r="E718" i="4"/>
  <c r="F718" i="4" s="1"/>
  <c r="C718" i="4"/>
  <c r="H717" i="4"/>
  <c r="M717" i="4" s="1"/>
  <c r="E717" i="4"/>
  <c r="C717" i="4"/>
  <c r="H716" i="4"/>
  <c r="L716" i="4" s="1"/>
  <c r="E716" i="4"/>
  <c r="F716" i="4" s="1"/>
  <c r="C716" i="4"/>
  <c r="H715" i="4"/>
  <c r="E715" i="4"/>
  <c r="C715" i="4"/>
  <c r="H714" i="4"/>
  <c r="E714" i="4"/>
  <c r="F714" i="4" s="1"/>
  <c r="C714" i="4"/>
  <c r="H713" i="4"/>
  <c r="N713" i="4" s="1"/>
  <c r="E713" i="4"/>
  <c r="C713" i="4"/>
  <c r="H712" i="4"/>
  <c r="E712" i="4"/>
  <c r="F712" i="4" s="1"/>
  <c r="C712" i="4"/>
  <c r="H711" i="4"/>
  <c r="L711" i="4" s="1"/>
  <c r="E711" i="4"/>
  <c r="C711" i="4"/>
  <c r="H710" i="4"/>
  <c r="E710" i="4"/>
  <c r="F710" i="4" s="1"/>
  <c r="C710" i="4"/>
  <c r="H709" i="4"/>
  <c r="E709" i="4"/>
  <c r="C709" i="4"/>
  <c r="H708" i="4"/>
  <c r="L708" i="4" s="1"/>
  <c r="E708" i="4"/>
  <c r="F708" i="4" s="1"/>
  <c r="C708" i="4"/>
  <c r="H707" i="4"/>
  <c r="N707" i="4" s="1"/>
  <c r="E707" i="4"/>
  <c r="C707" i="4"/>
  <c r="H706" i="4"/>
  <c r="E706" i="4"/>
  <c r="F706" i="4" s="1"/>
  <c r="C706" i="4"/>
  <c r="H705" i="4"/>
  <c r="E705" i="4"/>
  <c r="C705" i="4"/>
  <c r="H704" i="4"/>
  <c r="E704" i="4"/>
  <c r="F704" i="4" s="1"/>
  <c r="C704" i="4"/>
  <c r="H703" i="4"/>
  <c r="E703" i="4"/>
  <c r="C703" i="4"/>
  <c r="H702" i="4"/>
  <c r="L702" i="4" s="1"/>
  <c r="E702" i="4"/>
  <c r="F702" i="4" s="1"/>
  <c r="C702" i="4"/>
  <c r="H701" i="4"/>
  <c r="N701" i="4" s="1"/>
  <c r="E701" i="4"/>
  <c r="C701" i="4"/>
  <c r="H700" i="4"/>
  <c r="L700" i="4" s="1"/>
  <c r="E700" i="4"/>
  <c r="F700" i="4" s="1"/>
  <c r="C700" i="4"/>
  <c r="H699" i="4"/>
  <c r="M699" i="4" s="1"/>
  <c r="E699" i="4"/>
  <c r="C699" i="4"/>
  <c r="H698" i="4"/>
  <c r="L698" i="4" s="1"/>
  <c r="E698" i="4"/>
  <c r="F698" i="4" s="1"/>
  <c r="C698" i="4"/>
  <c r="H697" i="4"/>
  <c r="M697" i="4" s="1"/>
  <c r="E697" i="4"/>
  <c r="C697" i="4"/>
  <c r="H696" i="4"/>
  <c r="L696" i="4" s="1"/>
  <c r="E696" i="4"/>
  <c r="F696" i="4" s="1"/>
  <c r="C696" i="4"/>
  <c r="H695" i="4"/>
  <c r="E695" i="4"/>
  <c r="C695" i="4"/>
  <c r="H694" i="4"/>
  <c r="E694" i="4"/>
  <c r="F694" i="4" s="1"/>
  <c r="C694" i="4"/>
  <c r="H693" i="4"/>
  <c r="E693" i="4"/>
  <c r="C693" i="4"/>
  <c r="H692" i="4"/>
  <c r="E692" i="4"/>
  <c r="F692" i="4" s="1"/>
  <c r="C692" i="4"/>
  <c r="H691" i="4"/>
  <c r="M691" i="4" s="1"/>
  <c r="E691" i="4"/>
  <c r="C691" i="4"/>
  <c r="H690" i="4"/>
  <c r="L690" i="4" s="1"/>
  <c r="E690" i="4"/>
  <c r="C690" i="4"/>
  <c r="H689" i="4"/>
  <c r="E689" i="4"/>
  <c r="F689" i="4" s="1"/>
  <c r="C689" i="4"/>
  <c r="H688" i="4"/>
  <c r="N688" i="4" s="1"/>
  <c r="E688" i="4"/>
  <c r="F688" i="4" s="1"/>
  <c r="C688" i="4"/>
  <c r="H687" i="4"/>
  <c r="N687" i="4" s="1"/>
  <c r="E687" i="4"/>
  <c r="C687" i="4"/>
  <c r="H686" i="4"/>
  <c r="E686" i="4"/>
  <c r="F686" i="4" s="1"/>
  <c r="C686" i="4"/>
  <c r="H685" i="4"/>
  <c r="E685" i="4"/>
  <c r="F685" i="4" s="1"/>
  <c r="C685" i="4"/>
  <c r="H684" i="4"/>
  <c r="E684" i="4"/>
  <c r="F684" i="4" s="1"/>
  <c r="C684" i="4"/>
  <c r="H683" i="4"/>
  <c r="E683" i="4"/>
  <c r="F683" i="4" s="1"/>
  <c r="C683" i="4"/>
  <c r="H682" i="4"/>
  <c r="N682" i="4" s="1"/>
  <c r="E682" i="4"/>
  <c r="F682" i="4" s="1"/>
  <c r="C682" i="4"/>
  <c r="H681" i="4"/>
  <c r="E681" i="4"/>
  <c r="F681" i="4" s="1"/>
  <c r="C681" i="4"/>
  <c r="H680" i="4"/>
  <c r="E680" i="4"/>
  <c r="F680" i="4" s="1"/>
  <c r="C680" i="4"/>
  <c r="H679" i="4"/>
  <c r="N679" i="4" s="1"/>
  <c r="E679" i="4"/>
  <c r="C679" i="4"/>
  <c r="H678" i="4"/>
  <c r="E678" i="4"/>
  <c r="F678" i="4" s="1"/>
  <c r="C678" i="4"/>
  <c r="H677" i="4"/>
  <c r="E677" i="4"/>
  <c r="F677" i="4" s="1"/>
  <c r="C677" i="4"/>
  <c r="H676" i="4"/>
  <c r="I676" i="4" s="1"/>
  <c r="E676" i="4"/>
  <c r="F676" i="4" s="1"/>
  <c r="C676" i="4"/>
  <c r="H675" i="4"/>
  <c r="N675" i="4" s="1"/>
  <c r="E675" i="4"/>
  <c r="F675" i="4" s="1"/>
  <c r="C675" i="4"/>
  <c r="H674" i="4"/>
  <c r="E674" i="4"/>
  <c r="F674" i="4" s="1"/>
  <c r="C674" i="4"/>
  <c r="H673" i="4"/>
  <c r="E673" i="4"/>
  <c r="F673" i="4" s="1"/>
  <c r="C673" i="4"/>
  <c r="H672" i="4"/>
  <c r="N672" i="4" s="1"/>
  <c r="E672" i="4"/>
  <c r="F672" i="4" s="1"/>
  <c r="C672" i="4"/>
  <c r="H671" i="4"/>
  <c r="N671" i="4" s="1"/>
  <c r="E671" i="4"/>
  <c r="F671" i="4" s="1"/>
  <c r="C671" i="4"/>
  <c r="H670" i="4"/>
  <c r="J670" i="4" s="1"/>
  <c r="E670" i="4"/>
  <c r="F670" i="4" s="1"/>
  <c r="C670" i="4"/>
  <c r="H669" i="4"/>
  <c r="E669" i="4"/>
  <c r="F669" i="4" s="1"/>
  <c r="C669" i="4"/>
  <c r="H668" i="4"/>
  <c r="E668" i="4"/>
  <c r="F668" i="4" s="1"/>
  <c r="C668" i="4"/>
  <c r="H667" i="4"/>
  <c r="E667" i="4"/>
  <c r="F667" i="4" s="1"/>
  <c r="C667" i="4"/>
  <c r="H666" i="4"/>
  <c r="N666" i="4" s="1"/>
  <c r="E666" i="4"/>
  <c r="F666" i="4" s="1"/>
  <c r="C666" i="4"/>
  <c r="H665" i="4"/>
  <c r="E665" i="4"/>
  <c r="F665" i="4" s="1"/>
  <c r="C665" i="4"/>
  <c r="H664" i="4"/>
  <c r="E664" i="4"/>
  <c r="F664" i="4" s="1"/>
  <c r="C664" i="4"/>
  <c r="H663" i="4"/>
  <c r="N663" i="4" s="1"/>
  <c r="E663" i="4"/>
  <c r="C663" i="4"/>
  <c r="H662" i="4"/>
  <c r="E662" i="4"/>
  <c r="F662" i="4" s="1"/>
  <c r="C662" i="4"/>
  <c r="H661" i="4"/>
  <c r="E661" i="4"/>
  <c r="F661" i="4" s="1"/>
  <c r="C661" i="4"/>
  <c r="H660" i="4"/>
  <c r="E660" i="4"/>
  <c r="F660" i="4" s="1"/>
  <c r="C660" i="4"/>
  <c r="H659" i="4"/>
  <c r="E659" i="4"/>
  <c r="F659" i="4" s="1"/>
  <c r="C659" i="4"/>
  <c r="H658" i="4"/>
  <c r="E658" i="4"/>
  <c r="F658" i="4" s="1"/>
  <c r="C658" i="4"/>
  <c r="H657" i="4"/>
  <c r="E657" i="4"/>
  <c r="F657" i="4" s="1"/>
  <c r="C657" i="4"/>
  <c r="H656" i="4"/>
  <c r="N656" i="4" s="1"/>
  <c r="E656" i="4"/>
  <c r="F656" i="4" s="1"/>
  <c r="C656" i="4"/>
  <c r="H655" i="4"/>
  <c r="N655" i="4" s="1"/>
  <c r="E655" i="4"/>
  <c r="F655" i="4" s="1"/>
  <c r="C655" i="4"/>
  <c r="H654" i="4"/>
  <c r="J654" i="4" s="1"/>
  <c r="E654" i="4"/>
  <c r="F654" i="4" s="1"/>
  <c r="C654" i="4"/>
  <c r="H653" i="4"/>
  <c r="E653" i="4"/>
  <c r="F653" i="4" s="1"/>
  <c r="C653" i="4"/>
  <c r="H652" i="4"/>
  <c r="N652" i="4" s="1"/>
  <c r="E652" i="4"/>
  <c r="F652" i="4" s="1"/>
  <c r="C652" i="4"/>
  <c r="H651" i="4"/>
  <c r="N651" i="4" s="1"/>
  <c r="E651" i="4"/>
  <c r="F651" i="4" s="1"/>
  <c r="C651" i="4"/>
  <c r="H650" i="4"/>
  <c r="N650" i="4" s="1"/>
  <c r="E650" i="4"/>
  <c r="F650" i="4" s="1"/>
  <c r="C650" i="4"/>
  <c r="H649" i="4"/>
  <c r="E649" i="4"/>
  <c r="F649" i="4" s="1"/>
  <c r="C649" i="4"/>
  <c r="H648" i="4"/>
  <c r="E648" i="4"/>
  <c r="F648" i="4" s="1"/>
  <c r="C648" i="4"/>
  <c r="H647" i="4"/>
  <c r="E647" i="4"/>
  <c r="F647" i="4" s="1"/>
  <c r="C647" i="4"/>
  <c r="H646" i="4"/>
  <c r="E646" i="4"/>
  <c r="F646" i="4" s="1"/>
  <c r="C646" i="4"/>
  <c r="H645" i="4"/>
  <c r="E645" i="4"/>
  <c r="F645" i="4" s="1"/>
  <c r="C645" i="4"/>
  <c r="H644" i="4"/>
  <c r="I644" i="4" s="1"/>
  <c r="E644" i="4"/>
  <c r="F644" i="4" s="1"/>
  <c r="C644" i="4"/>
  <c r="H643" i="4"/>
  <c r="N643" i="4" s="1"/>
  <c r="E643" i="4"/>
  <c r="F643" i="4" s="1"/>
  <c r="C643" i="4"/>
  <c r="H642" i="4"/>
  <c r="E642" i="4"/>
  <c r="F642" i="4" s="1"/>
  <c r="C642" i="4"/>
  <c r="H641" i="4"/>
  <c r="E641" i="4"/>
  <c r="F641" i="4" s="1"/>
  <c r="C641" i="4"/>
  <c r="H640" i="4"/>
  <c r="E640" i="4"/>
  <c r="F640" i="4" s="1"/>
  <c r="C640" i="4"/>
  <c r="H639" i="4"/>
  <c r="E639" i="4"/>
  <c r="F639" i="4" s="1"/>
  <c r="C639" i="4"/>
  <c r="H638" i="4"/>
  <c r="J638" i="4" s="1"/>
  <c r="E638" i="4"/>
  <c r="F638" i="4" s="1"/>
  <c r="C638" i="4"/>
  <c r="H637" i="4"/>
  <c r="E637" i="4"/>
  <c r="F637" i="4" s="1"/>
  <c r="C637" i="4"/>
  <c r="H636" i="4"/>
  <c r="E636" i="4"/>
  <c r="F636" i="4" s="1"/>
  <c r="C636" i="4"/>
  <c r="H635" i="4"/>
  <c r="E635" i="4"/>
  <c r="F635" i="4" s="1"/>
  <c r="C635" i="4"/>
  <c r="H634" i="4"/>
  <c r="N634" i="4" s="1"/>
  <c r="E634" i="4"/>
  <c r="F634" i="4" s="1"/>
  <c r="C634" i="4"/>
  <c r="H633" i="4"/>
  <c r="E633" i="4"/>
  <c r="F633" i="4" s="1"/>
  <c r="C633" i="4"/>
  <c r="H632" i="4"/>
  <c r="E632" i="4"/>
  <c r="F632" i="4" s="1"/>
  <c r="C632" i="4"/>
  <c r="H631" i="4"/>
  <c r="N631" i="4" s="1"/>
  <c r="E631" i="4"/>
  <c r="F631" i="4" s="1"/>
  <c r="C631" i="4"/>
  <c r="H630" i="4"/>
  <c r="E630" i="4"/>
  <c r="F630" i="4" s="1"/>
  <c r="C630" i="4"/>
  <c r="H629" i="4"/>
  <c r="E629" i="4"/>
  <c r="F629" i="4" s="1"/>
  <c r="C629" i="4"/>
  <c r="H628" i="4"/>
  <c r="N628" i="4" s="1"/>
  <c r="E628" i="4"/>
  <c r="F628" i="4" s="1"/>
  <c r="C628" i="4"/>
  <c r="H627" i="4"/>
  <c r="N627" i="4" s="1"/>
  <c r="E627" i="4"/>
  <c r="C627" i="4"/>
  <c r="H626" i="4"/>
  <c r="E626" i="4"/>
  <c r="F626" i="4" s="1"/>
  <c r="C626" i="4"/>
  <c r="H625" i="4"/>
  <c r="E625" i="4"/>
  <c r="F625" i="4" s="1"/>
  <c r="C625" i="4"/>
  <c r="H624" i="4"/>
  <c r="E624" i="4"/>
  <c r="F624" i="4" s="1"/>
  <c r="C624" i="4"/>
  <c r="H623" i="4"/>
  <c r="E623" i="4"/>
  <c r="F623" i="4" s="1"/>
  <c r="C623" i="4"/>
  <c r="H622" i="4"/>
  <c r="J622" i="4" s="1"/>
  <c r="E622" i="4"/>
  <c r="F622" i="4" s="1"/>
  <c r="C622" i="4"/>
  <c r="H621" i="4"/>
  <c r="E621" i="4"/>
  <c r="F621" i="4" s="1"/>
  <c r="C621" i="4"/>
  <c r="H620" i="4"/>
  <c r="N620" i="4" s="1"/>
  <c r="E620" i="4"/>
  <c r="F620" i="4" s="1"/>
  <c r="C620" i="4"/>
  <c r="H619" i="4"/>
  <c r="N619" i="4" s="1"/>
  <c r="E619" i="4"/>
  <c r="F619" i="4" s="1"/>
  <c r="C619" i="4"/>
  <c r="H618" i="4"/>
  <c r="N618" i="4" s="1"/>
  <c r="E618" i="4"/>
  <c r="F618" i="4" s="1"/>
  <c r="C618" i="4"/>
  <c r="H617" i="4"/>
  <c r="E617" i="4"/>
  <c r="F617" i="4" s="1"/>
  <c r="C617" i="4"/>
  <c r="H616" i="4"/>
  <c r="N616" i="4" s="1"/>
  <c r="E616" i="4"/>
  <c r="F616" i="4" s="1"/>
  <c r="C616" i="4"/>
  <c r="H615" i="4"/>
  <c r="N615" i="4" s="1"/>
  <c r="E615" i="4"/>
  <c r="C615" i="4"/>
  <c r="H614" i="4"/>
  <c r="E614" i="4"/>
  <c r="F614" i="4" s="1"/>
  <c r="C614" i="4"/>
  <c r="H613" i="4"/>
  <c r="E613" i="4"/>
  <c r="F613" i="4" s="1"/>
  <c r="C613" i="4"/>
  <c r="H612" i="4"/>
  <c r="J612" i="4" s="1"/>
  <c r="E612" i="4"/>
  <c r="F612" i="4" s="1"/>
  <c r="C612" i="4"/>
  <c r="H611" i="4"/>
  <c r="E611" i="4"/>
  <c r="F611" i="4" s="1"/>
  <c r="C611" i="4"/>
  <c r="H610" i="4"/>
  <c r="I610" i="4" s="1"/>
  <c r="E610" i="4"/>
  <c r="F610" i="4" s="1"/>
  <c r="C610" i="4"/>
  <c r="H609" i="4"/>
  <c r="L609" i="4" s="1"/>
  <c r="E609" i="4"/>
  <c r="F609" i="4" s="1"/>
  <c r="C609" i="4"/>
  <c r="H608" i="4"/>
  <c r="L608" i="4" s="1"/>
  <c r="E608" i="4"/>
  <c r="F608" i="4" s="1"/>
  <c r="C608" i="4"/>
  <c r="H607" i="4"/>
  <c r="L607" i="4" s="1"/>
  <c r="E607" i="4"/>
  <c r="F607" i="4" s="1"/>
  <c r="C607" i="4"/>
  <c r="H606" i="4"/>
  <c r="E606" i="4"/>
  <c r="F606" i="4" s="1"/>
  <c r="C606" i="4"/>
  <c r="H605" i="4"/>
  <c r="E605" i="4"/>
  <c r="F605" i="4" s="1"/>
  <c r="C605" i="4"/>
  <c r="H604" i="4"/>
  <c r="E604" i="4"/>
  <c r="F604" i="4" s="1"/>
  <c r="C604" i="4"/>
  <c r="H603" i="4"/>
  <c r="E603" i="4"/>
  <c r="F603" i="4" s="1"/>
  <c r="C603" i="4"/>
  <c r="H602" i="4"/>
  <c r="I602" i="4" s="1"/>
  <c r="E602" i="4"/>
  <c r="F602" i="4" s="1"/>
  <c r="C602" i="4"/>
  <c r="H601" i="4"/>
  <c r="E601" i="4"/>
  <c r="F601" i="4" s="1"/>
  <c r="C601" i="4"/>
  <c r="H600" i="4"/>
  <c r="J600" i="4" s="1"/>
  <c r="E600" i="4"/>
  <c r="F600" i="4" s="1"/>
  <c r="C600" i="4"/>
  <c r="H599" i="4"/>
  <c r="L599" i="4" s="1"/>
  <c r="E599" i="4"/>
  <c r="F599" i="4" s="1"/>
  <c r="C599" i="4"/>
  <c r="H598" i="4"/>
  <c r="N598" i="4" s="1"/>
  <c r="E598" i="4"/>
  <c r="F598" i="4" s="1"/>
  <c r="C598" i="4"/>
  <c r="H597" i="4"/>
  <c r="E597" i="4"/>
  <c r="F597" i="4" s="1"/>
  <c r="C597" i="4"/>
  <c r="H596" i="4"/>
  <c r="E596" i="4"/>
  <c r="F596" i="4" s="1"/>
  <c r="C596" i="4"/>
  <c r="H595" i="4"/>
  <c r="E595" i="4"/>
  <c r="F595" i="4" s="1"/>
  <c r="C595" i="4"/>
  <c r="H594" i="4"/>
  <c r="N594" i="4" s="1"/>
  <c r="E594" i="4"/>
  <c r="F594" i="4" s="1"/>
  <c r="C594" i="4"/>
  <c r="H593" i="4"/>
  <c r="L593" i="4" s="1"/>
  <c r="E593" i="4"/>
  <c r="C593" i="4"/>
  <c r="H592" i="4"/>
  <c r="L592" i="4" s="1"/>
  <c r="E592" i="4"/>
  <c r="F592" i="4" s="1"/>
  <c r="C592" i="4"/>
  <c r="H591" i="4"/>
  <c r="J591" i="4" s="1"/>
  <c r="E591" i="4"/>
  <c r="F591" i="4" s="1"/>
  <c r="C591" i="4"/>
  <c r="H590" i="4"/>
  <c r="L590" i="4" s="1"/>
  <c r="E590" i="4"/>
  <c r="F590" i="4" s="1"/>
  <c r="C590" i="4"/>
  <c r="H589" i="4"/>
  <c r="J589" i="4" s="1"/>
  <c r="E589" i="4"/>
  <c r="F589" i="4" s="1"/>
  <c r="C589" i="4"/>
  <c r="H588" i="4"/>
  <c r="E588" i="4"/>
  <c r="F588" i="4" s="1"/>
  <c r="C588" i="4"/>
  <c r="H587" i="4"/>
  <c r="E587" i="4"/>
  <c r="F587" i="4" s="1"/>
  <c r="C587" i="4"/>
  <c r="H586" i="4"/>
  <c r="E586" i="4"/>
  <c r="F586" i="4" s="1"/>
  <c r="C586" i="4"/>
  <c r="H585" i="4"/>
  <c r="J585" i="4" s="1"/>
  <c r="E585" i="4"/>
  <c r="F585" i="4" s="1"/>
  <c r="C585" i="4"/>
  <c r="H584" i="4"/>
  <c r="E584" i="4"/>
  <c r="F584" i="4" s="1"/>
  <c r="C584" i="4"/>
  <c r="H583" i="4"/>
  <c r="E583" i="4"/>
  <c r="F583" i="4" s="1"/>
  <c r="C583" i="4"/>
  <c r="H582" i="4"/>
  <c r="E582" i="4"/>
  <c r="F582" i="4" s="1"/>
  <c r="C582" i="4"/>
  <c r="H581" i="4"/>
  <c r="L581" i="4" s="1"/>
  <c r="E581" i="4"/>
  <c r="F581" i="4" s="1"/>
  <c r="C581" i="4"/>
  <c r="H580" i="4"/>
  <c r="E580" i="4"/>
  <c r="F580" i="4" s="1"/>
  <c r="C580" i="4"/>
  <c r="H579" i="4"/>
  <c r="E579" i="4"/>
  <c r="F579" i="4" s="1"/>
  <c r="C579" i="4"/>
  <c r="H578" i="4"/>
  <c r="E578" i="4"/>
  <c r="F578" i="4" s="1"/>
  <c r="C578" i="4"/>
  <c r="H577" i="4"/>
  <c r="J577" i="4" s="1"/>
  <c r="E577" i="4"/>
  <c r="F577" i="4" s="1"/>
  <c r="C577" i="4"/>
  <c r="H576" i="4"/>
  <c r="E576" i="4"/>
  <c r="F576" i="4" s="1"/>
  <c r="C576" i="4"/>
  <c r="H575" i="4"/>
  <c r="J575" i="4" s="1"/>
  <c r="E575" i="4"/>
  <c r="F575" i="4" s="1"/>
  <c r="C575" i="4"/>
  <c r="H574" i="4"/>
  <c r="L574" i="4" s="1"/>
  <c r="E574" i="4"/>
  <c r="F574" i="4" s="1"/>
  <c r="C574" i="4"/>
  <c r="H573" i="4"/>
  <c r="E573" i="4"/>
  <c r="F573" i="4" s="1"/>
  <c r="C573" i="4"/>
  <c r="H572" i="4"/>
  <c r="L572" i="4" s="1"/>
  <c r="E572" i="4"/>
  <c r="F572" i="4" s="1"/>
  <c r="C572" i="4"/>
  <c r="H571" i="4"/>
  <c r="J571" i="4" s="1"/>
  <c r="E571" i="4"/>
  <c r="F571" i="4" s="1"/>
  <c r="C571" i="4"/>
  <c r="H570" i="4"/>
  <c r="L570" i="4" s="1"/>
  <c r="E570" i="4"/>
  <c r="F570" i="4" s="1"/>
  <c r="C570" i="4"/>
  <c r="H569" i="4"/>
  <c r="J569" i="4" s="1"/>
  <c r="E569" i="4"/>
  <c r="F569" i="4" s="1"/>
  <c r="C569" i="4"/>
  <c r="H568" i="4"/>
  <c r="J568" i="4" s="1"/>
  <c r="E568" i="4"/>
  <c r="F568" i="4" s="1"/>
  <c r="C568" i="4"/>
  <c r="H567" i="4"/>
  <c r="J567" i="4" s="1"/>
  <c r="E567" i="4"/>
  <c r="F567" i="4" s="1"/>
  <c r="C567" i="4"/>
  <c r="H566" i="4"/>
  <c r="L566" i="4" s="1"/>
  <c r="E566" i="4"/>
  <c r="F566" i="4" s="1"/>
  <c r="C566" i="4"/>
  <c r="H565" i="4"/>
  <c r="L565" i="4" s="1"/>
  <c r="E565" i="4"/>
  <c r="F565" i="4" s="1"/>
  <c r="C565" i="4"/>
  <c r="H564" i="4"/>
  <c r="E564" i="4"/>
  <c r="F564" i="4" s="1"/>
  <c r="C564" i="4"/>
  <c r="H563" i="4"/>
  <c r="E563" i="4"/>
  <c r="F563" i="4" s="1"/>
  <c r="C563" i="4"/>
  <c r="H562" i="4"/>
  <c r="E562" i="4"/>
  <c r="F562" i="4" s="1"/>
  <c r="C562" i="4"/>
  <c r="H561" i="4"/>
  <c r="J561" i="4" s="1"/>
  <c r="E561" i="4"/>
  <c r="F561" i="4" s="1"/>
  <c r="C561" i="4"/>
  <c r="H560" i="4"/>
  <c r="N560" i="4" s="1"/>
  <c r="E560" i="4"/>
  <c r="F560" i="4" s="1"/>
  <c r="C560" i="4"/>
  <c r="H559" i="4"/>
  <c r="E559" i="4"/>
  <c r="C559" i="4"/>
  <c r="H558" i="4"/>
  <c r="N558" i="4" s="1"/>
  <c r="E558" i="4"/>
  <c r="C558" i="4"/>
  <c r="H557" i="4"/>
  <c r="E557" i="4"/>
  <c r="C557" i="4"/>
  <c r="H556" i="4"/>
  <c r="N556" i="4" s="1"/>
  <c r="E556" i="4"/>
  <c r="F556" i="4" s="1"/>
  <c r="C556" i="4"/>
  <c r="H555" i="4"/>
  <c r="E555" i="4"/>
  <c r="C555" i="4"/>
  <c r="H554" i="4"/>
  <c r="N554" i="4" s="1"/>
  <c r="E554" i="4"/>
  <c r="C554" i="4"/>
  <c r="H553" i="4"/>
  <c r="E553" i="4"/>
  <c r="C553" i="4"/>
  <c r="H552" i="4"/>
  <c r="N552" i="4" s="1"/>
  <c r="E552" i="4"/>
  <c r="C552" i="4"/>
  <c r="H551" i="4"/>
  <c r="L551" i="4" s="1"/>
  <c r="E551" i="4"/>
  <c r="C551" i="4"/>
  <c r="H550" i="4"/>
  <c r="N550" i="4" s="1"/>
  <c r="E550" i="4"/>
  <c r="F550" i="4" s="1"/>
  <c r="C550" i="4"/>
  <c r="H549" i="4"/>
  <c r="I549" i="4" s="1"/>
  <c r="E549" i="4"/>
  <c r="C549" i="4"/>
  <c r="H548" i="4"/>
  <c r="N548" i="4" s="1"/>
  <c r="E548" i="4"/>
  <c r="C548" i="4"/>
  <c r="H547" i="4"/>
  <c r="E547" i="4"/>
  <c r="C547" i="4"/>
  <c r="H546" i="4"/>
  <c r="N546" i="4" s="1"/>
  <c r="E546" i="4"/>
  <c r="C546" i="4"/>
  <c r="H545" i="4"/>
  <c r="E545" i="4"/>
  <c r="C545" i="4"/>
  <c r="H544" i="4"/>
  <c r="N544" i="4" s="1"/>
  <c r="E544" i="4"/>
  <c r="F544" i="4" s="1"/>
  <c r="C544" i="4"/>
  <c r="H543" i="4"/>
  <c r="I543" i="4" s="1"/>
  <c r="E543" i="4"/>
  <c r="C543" i="4"/>
  <c r="H542" i="4"/>
  <c r="N542" i="4" s="1"/>
  <c r="E542" i="4"/>
  <c r="C542" i="4"/>
  <c r="H541" i="4"/>
  <c r="L541" i="4" s="1"/>
  <c r="E541" i="4"/>
  <c r="C541" i="4"/>
  <c r="H540" i="4"/>
  <c r="N540" i="4" s="1"/>
  <c r="E540" i="4"/>
  <c r="C540" i="4"/>
  <c r="H539" i="4"/>
  <c r="E539" i="4"/>
  <c r="C539" i="4"/>
  <c r="H538" i="4"/>
  <c r="N538" i="4" s="1"/>
  <c r="E538" i="4"/>
  <c r="C538" i="4"/>
  <c r="H537" i="4"/>
  <c r="E537" i="4"/>
  <c r="C537" i="4"/>
  <c r="H536" i="4"/>
  <c r="N536" i="4" s="1"/>
  <c r="E536" i="4"/>
  <c r="C536" i="4"/>
  <c r="H535" i="4"/>
  <c r="E535" i="4"/>
  <c r="C535" i="4"/>
  <c r="H534" i="4"/>
  <c r="N534" i="4" s="1"/>
  <c r="E534" i="4"/>
  <c r="C534" i="4"/>
  <c r="H533" i="4"/>
  <c r="E533" i="4"/>
  <c r="C533" i="4"/>
  <c r="H532" i="4"/>
  <c r="N532" i="4" s="1"/>
  <c r="E532" i="4"/>
  <c r="C532" i="4"/>
  <c r="H531" i="4"/>
  <c r="E531" i="4"/>
  <c r="C531" i="4"/>
  <c r="H530" i="4"/>
  <c r="N530" i="4" s="1"/>
  <c r="E530" i="4"/>
  <c r="C530" i="4"/>
  <c r="H529" i="4"/>
  <c r="J529" i="4" s="1"/>
  <c r="E529" i="4"/>
  <c r="C529" i="4"/>
  <c r="H528" i="4"/>
  <c r="N528" i="4" s="1"/>
  <c r="E528" i="4"/>
  <c r="C528" i="4"/>
  <c r="H527" i="4"/>
  <c r="E527" i="4"/>
  <c r="C527" i="4"/>
  <c r="H526" i="4"/>
  <c r="N526" i="4" s="1"/>
  <c r="E526" i="4"/>
  <c r="C526" i="4"/>
  <c r="H525" i="4"/>
  <c r="N525" i="4" s="1"/>
  <c r="E525" i="4"/>
  <c r="C525" i="4"/>
  <c r="H524" i="4"/>
  <c r="N524" i="4" s="1"/>
  <c r="E524" i="4"/>
  <c r="F524" i="4" s="1"/>
  <c r="C524" i="4"/>
  <c r="H523" i="4"/>
  <c r="E523" i="4"/>
  <c r="C523" i="4"/>
  <c r="H522" i="4"/>
  <c r="N522" i="4" s="1"/>
  <c r="E522" i="4"/>
  <c r="C522" i="4"/>
  <c r="H521" i="4"/>
  <c r="E521" i="4"/>
  <c r="C521" i="4"/>
  <c r="H520" i="4"/>
  <c r="N520" i="4" s="1"/>
  <c r="E520" i="4"/>
  <c r="F520" i="4" s="1"/>
  <c r="C520" i="4"/>
  <c r="H519" i="4"/>
  <c r="E519" i="4"/>
  <c r="C519" i="4"/>
  <c r="H518" i="4"/>
  <c r="N518" i="4" s="1"/>
  <c r="E518" i="4"/>
  <c r="F518" i="4" s="1"/>
  <c r="C518" i="4"/>
  <c r="H517" i="4"/>
  <c r="N517" i="4" s="1"/>
  <c r="E517" i="4"/>
  <c r="C517" i="4"/>
  <c r="H516" i="4"/>
  <c r="N516" i="4" s="1"/>
  <c r="E516" i="4"/>
  <c r="C516" i="4"/>
  <c r="H515" i="4"/>
  <c r="N515" i="4" s="1"/>
  <c r="E515" i="4"/>
  <c r="C515" i="4"/>
  <c r="H514" i="4"/>
  <c r="N514" i="4" s="1"/>
  <c r="E514" i="4"/>
  <c r="C514" i="4"/>
  <c r="H513" i="4"/>
  <c r="J513" i="4" s="1"/>
  <c r="E513" i="4"/>
  <c r="C513" i="4"/>
  <c r="H512" i="4"/>
  <c r="N512" i="4" s="1"/>
  <c r="E512" i="4"/>
  <c r="F512" i="4" s="1"/>
  <c r="C512" i="4"/>
  <c r="H511" i="4"/>
  <c r="E511" i="4"/>
  <c r="C511" i="4"/>
  <c r="H510" i="4"/>
  <c r="N510" i="4" s="1"/>
  <c r="E510" i="4"/>
  <c r="C510" i="4"/>
  <c r="H509" i="4"/>
  <c r="E509" i="4"/>
  <c r="C509" i="4"/>
  <c r="H508" i="4"/>
  <c r="N508" i="4" s="1"/>
  <c r="E508" i="4"/>
  <c r="C508" i="4"/>
  <c r="H507" i="4"/>
  <c r="M507" i="4" s="1"/>
  <c r="E507" i="4"/>
  <c r="C507" i="4"/>
  <c r="H506" i="4"/>
  <c r="N506" i="4" s="1"/>
  <c r="E506" i="4"/>
  <c r="C506" i="4"/>
  <c r="H505" i="4"/>
  <c r="E505" i="4"/>
  <c r="C505" i="4"/>
  <c r="H504" i="4"/>
  <c r="N504" i="4" s="1"/>
  <c r="E504" i="4"/>
  <c r="F504" i="4" s="1"/>
  <c r="C504" i="4"/>
  <c r="H503" i="4"/>
  <c r="E503" i="4"/>
  <c r="C503" i="4"/>
  <c r="H502" i="4"/>
  <c r="N502" i="4" s="1"/>
  <c r="E502" i="4"/>
  <c r="C502" i="4"/>
  <c r="H501" i="4"/>
  <c r="I501" i="4" s="1"/>
  <c r="E501" i="4"/>
  <c r="C501" i="4"/>
  <c r="H500" i="4"/>
  <c r="N500" i="4" s="1"/>
  <c r="E500" i="4"/>
  <c r="C500" i="4"/>
  <c r="H499" i="4"/>
  <c r="E499" i="4"/>
  <c r="C499" i="4"/>
  <c r="H498" i="4"/>
  <c r="N498" i="4" s="1"/>
  <c r="E498" i="4"/>
  <c r="C498" i="4"/>
  <c r="H497" i="4"/>
  <c r="E497" i="4"/>
  <c r="C497" i="4"/>
  <c r="H496" i="4"/>
  <c r="E496" i="4"/>
  <c r="F496" i="4" s="1"/>
  <c r="C496" i="4"/>
  <c r="H495" i="4"/>
  <c r="E495" i="4"/>
  <c r="C495" i="4"/>
  <c r="H494" i="4"/>
  <c r="E494" i="4"/>
  <c r="F494" i="4" s="1"/>
  <c r="C494" i="4"/>
  <c r="H493" i="4"/>
  <c r="L493" i="4" s="1"/>
  <c r="E493" i="4"/>
  <c r="C493" i="4"/>
  <c r="H492" i="4"/>
  <c r="E492" i="4"/>
  <c r="F492" i="4" s="1"/>
  <c r="C492" i="4"/>
  <c r="H491" i="4"/>
  <c r="I491" i="4" s="1"/>
  <c r="E491" i="4"/>
  <c r="C491" i="4"/>
  <c r="H490" i="4"/>
  <c r="E490" i="4"/>
  <c r="F490" i="4" s="1"/>
  <c r="C490" i="4"/>
  <c r="H489" i="4"/>
  <c r="J489" i="4" s="1"/>
  <c r="E489" i="4"/>
  <c r="C489" i="4"/>
  <c r="H488" i="4"/>
  <c r="L488" i="4" s="1"/>
  <c r="E488" i="4"/>
  <c r="F488" i="4" s="1"/>
  <c r="C488" i="4"/>
  <c r="H487" i="4"/>
  <c r="E487" i="4"/>
  <c r="C487" i="4"/>
  <c r="H486" i="4"/>
  <c r="E486" i="4"/>
  <c r="F486" i="4" s="1"/>
  <c r="C486" i="4"/>
  <c r="H485" i="4"/>
  <c r="E485" i="4"/>
  <c r="C485" i="4"/>
  <c r="H484" i="4"/>
  <c r="E484" i="4"/>
  <c r="F484" i="4" s="1"/>
  <c r="C484" i="4"/>
  <c r="H483" i="4"/>
  <c r="J483" i="4" s="1"/>
  <c r="E483" i="4"/>
  <c r="C483" i="4"/>
  <c r="H482" i="4"/>
  <c r="L482" i="4" s="1"/>
  <c r="E482" i="4"/>
  <c r="F482" i="4" s="1"/>
  <c r="C482" i="4"/>
  <c r="H481" i="4"/>
  <c r="L481" i="4" s="1"/>
  <c r="E481" i="4"/>
  <c r="C481" i="4"/>
  <c r="H480" i="4"/>
  <c r="L480" i="4" s="1"/>
  <c r="E480" i="4"/>
  <c r="C480" i="4"/>
  <c r="H479" i="4"/>
  <c r="E479" i="4"/>
  <c r="F479" i="4" s="1"/>
  <c r="C479" i="4"/>
  <c r="H478" i="4"/>
  <c r="E478" i="4"/>
  <c r="F478" i="4" s="1"/>
  <c r="C478" i="4"/>
  <c r="H477" i="4"/>
  <c r="E477" i="4"/>
  <c r="F477" i="4" s="1"/>
  <c r="C477" i="4"/>
  <c r="H476" i="4"/>
  <c r="E476" i="4"/>
  <c r="F476" i="4" s="1"/>
  <c r="C476" i="4"/>
  <c r="H475" i="4"/>
  <c r="E475" i="4"/>
  <c r="F475" i="4" s="1"/>
  <c r="C475" i="4"/>
  <c r="H474" i="4"/>
  <c r="L474" i="4" s="1"/>
  <c r="E474" i="4"/>
  <c r="C474" i="4"/>
  <c r="H473" i="4"/>
  <c r="M473" i="4" s="1"/>
  <c r="E473" i="4"/>
  <c r="F473" i="4" s="1"/>
  <c r="C473" i="4"/>
  <c r="H472" i="4"/>
  <c r="L472" i="4" s="1"/>
  <c r="E472" i="4"/>
  <c r="C472" i="4"/>
  <c r="H471" i="4"/>
  <c r="E471" i="4"/>
  <c r="F471" i="4" s="1"/>
  <c r="C471" i="4"/>
  <c r="H470" i="4"/>
  <c r="E470" i="4"/>
  <c r="F470" i="4" s="1"/>
  <c r="C470" i="4"/>
  <c r="H469" i="4"/>
  <c r="E469" i="4"/>
  <c r="F469" i="4" s="1"/>
  <c r="C469" i="4"/>
  <c r="H468" i="4"/>
  <c r="E468" i="4"/>
  <c r="F468" i="4" s="1"/>
  <c r="C468" i="4"/>
  <c r="H467" i="4"/>
  <c r="I467" i="4" s="1"/>
  <c r="E467" i="4"/>
  <c r="F467" i="4" s="1"/>
  <c r="C467" i="4"/>
  <c r="H466" i="4"/>
  <c r="E466" i="4"/>
  <c r="F466" i="4" s="1"/>
  <c r="C466" i="4"/>
  <c r="H465" i="4"/>
  <c r="L465" i="4" s="1"/>
  <c r="E465" i="4"/>
  <c r="F465" i="4" s="1"/>
  <c r="C465" i="4"/>
  <c r="H464" i="4"/>
  <c r="L464" i="4" s="1"/>
  <c r="E464" i="4"/>
  <c r="C464" i="4"/>
  <c r="H463" i="4"/>
  <c r="L463" i="4" s="1"/>
  <c r="E463" i="4"/>
  <c r="F463" i="4" s="1"/>
  <c r="C463" i="4"/>
  <c r="H462" i="4"/>
  <c r="E462" i="4"/>
  <c r="F462" i="4" s="1"/>
  <c r="C462" i="4"/>
  <c r="H461" i="4"/>
  <c r="I461" i="4" s="1"/>
  <c r="E461" i="4"/>
  <c r="F461" i="4" s="1"/>
  <c r="C461" i="4"/>
  <c r="H460" i="4"/>
  <c r="E460" i="4"/>
  <c r="F460" i="4" s="1"/>
  <c r="C460" i="4"/>
  <c r="H459" i="4"/>
  <c r="E459" i="4"/>
  <c r="F459" i="4" s="1"/>
  <c r="C459" i="4"/>
  <c r="H458" i="4"/>
  <c r="E458" i="4"/>
  <c r="F458" i="4" s="1"/>
  <c r="C458" i="4"/>
  <c r="H457" i="4"/>
  <c r="I457" i="4" s="1"/>
  <c r="E457" i="4"/>
  <c r="F457" i="4" s="1"/>
  <c r="C457" i="4"/>
  <c r="H456" i="4"/>
  <c r="L456" i="4" s="1"/>
  <c r="E456" i="4"/>
  <c r="C456" i="4"/>
  <c r="H455" i="4"/>
  <c r="N455" i="4" s="1"/>
  <c r="E455" i="4"/>
  <c r="F455" i="4" s="1"/>
  <c r="C455" i="4"/>
  <c r="H454" i="4"/>
  <c r="E454" i="4"/>
  <c r="F454" i="4" s="1"/>
  <c r="C454" i="4"/>
  <c r="H453" i="4"/>
  <c r="J453" i="4" s="1"/>
  <c r="E453" i="4"/>
  <c r="F453" i="4" s="1"/>
  <c r="C453" i="4"/>
  <c r="H452" i="4"/>
  <c r="E452" i="4"/>
  <c r="F452" i="4" s="1"/>
  <c r="C452" i="4"/>
  <c r="H451" i="4"/>
  <c r="E451" i="4"/>
  <c r="F451" i="4" s="1"/>
  <c r="C451" i="4"/>
  <c r="H450" i="4"/>
  <c r="E450" i="4"/>
  <c r="F450" i="4" s="1"/>
  <c r="C450" i="4"/>
  <c r="H449" i="4"/>
  <c r="L449" i="4" s="1"/>
  <c r="E449" i="4"/>
  <c r="F449" i="4" s="1"/>
  <c r="C449" i="4"/>
  <c r="H448" i="4"/>
  <c r="L448" i="4" s="1"/>
  <c r="E448" i="4"/>
  <c r="C448" i="4"/>
  <c r="H447" i="4"/>
  <c r="E447" i="4"/>
  <c r="F447" i="4" s="1"/>
  <c r="C447" i="4"/>
  <c r="H446" i="4"/>
  <c r="L446" i="4" s="1"/>
  <c r="E446" i="4"/>
  <c r="F446" i="4" s="1"/>
  <c r="C446" i="4"/>
  <c r="H445" i="4"/>
  <c r="E445" i="4"/>
  <c r="F445" i="4" s="1"/>
  <c r="C445" i="4"/>
  <c r="H444" i="4"/>
  <c r="E444" i="4"/>
  <c r="F444" i="4" s="1"/>
  <c r="C444" i="4"/>
  <c r="H443" i="4"/>
  <c r="I443" i="4" s="1"/>
  <c r="E443" i="4"/>
  <c r="F443" i="4" s="1"/>
  <c r="C443" i="4"/>
  <c r="H442" i="4"/>
  <c r="E442" i="4"/>
  <c r="F442" i="4" s="1"/>
  <c r="C442" i="4"/>
  <c r="H441" i="4"/>
  <c r="N441" i="4" s="1"/>
  <c r="E441" i="4"/>
  <c r="F441" i="4" s="1"/>
  <c r="C441" i="4"/>
  <c r="H440" i="4"/>
  <c r="L440" i="4" s="1"/>
  <c r="E440" i="4"/>
  <c r="F440" i="4" s="1"/>
  <c r="C440" i="4"/>
  <c r="H439" i="4"/>
  <c r="I439" i="4" s="1"/>
  <c r="E439" i="4"/>
  <c r="F439" i="4" s="1"/>
  <c r="C439" i="4"/>
  <c r="H438" i="4"/>
  <c r="L438" i="4" s="1"/>
  <c r="E438" i="4"/>
  <c r="F438" i="4" s="1"/>
  <c r="C438" i="4"/>
  <c r="H437" i="4"/>
  <c r="J437" i="4" s="1"/>
  <c r="E437" i="4"/>
  <c r="F437" i="4" s="1"/>
  <c r="C437" i="4"/>
  <c r="H436" i="4"/>
  <c r="L436" i="4" s="1"/>
  <c r="E436" i="4"/>
  <c r="F436" i="4" s="1"/>
  <c r="C436" i="4"/>
  <c r="H435" i="4"/>
  <c r="I435" i="4" s="1"/>
  <c r="E435" i="4"/>
  <c r="F435" i="4" s="1"/>
  <c r="C435" i="4"/>
  <c r="H434" i="4"/>
  <c r="E434" i="4"/>
  <c r="F434" i="4" s="1"/>
  <c r="C434" i="4"/>
  <c r="H433" i="4"/>
  <c r="N433" i="4" s="1"/>
  <c r="E433" i="4"/>
  <c r="F433" i="4" s="1"/>
  <c r="C433" i="4"/>
  <c r="H432" i="4"/>
  <c r="L432" i="4" s="1"/>
  <c r="E432" i="4"/>
  <c r="F432" i="4" s="1"/>
  <c r="C432" i="4"/>
  <c r="H431" i="4"/>
  <c r="E431" i="4"/>
  <c r="F431" i="4" s="1"/>
  <c r="C431" i="4"/>
  <c r="H430" i="4"/>
  <c r="E430" i="4"/>
  <c r="F430" i="4" s="1"/>
  <c r="C430" i="4"/>
  <c r="H429" i="4"/>
  <c r="J429" i="4" s="1"/>
  <c r="E429" i="4"/>
  <c r="F429" i="4" s="1"/>
  <c r="C429" i="4"/>
  <c r="H428" i="4"/>
  <c r="L428" i="4" s="1"/>
  <c r="E428" i="4"/>
  <c r="F428" i="4" s="1"/>
  <c r="C428" i="4"/>
  <c r="H427" i="4"/>
  <c r="E427" i="4"/>
  <c r="F427" i="4" s="1"/>
  <c r="C427" i="4"/>
  <c r="H426" i="4"/>
  <c r="E426" i="4"/>
  <c r="F426" i="4" s="1"/>
  <c r="C426" i="4"/>
  <c r="H425" i="4"/>
  <c r="I425" i="4" s="1"/>
  <c r="E425" i="4"/>
  <c r="F425" i="4" s="1"/>
  <c r="C425" i="4"/>
  <c r="H424" i="4"/>
  <c r="L424" i="4" s="1"/>
  <c r="E424" i="4"/>
  <c r="F424" i="4" s="1"/>
  <c r="C424" i="4"/>
  <c r="H423" i="4"/>
  <c r="L423" i="4" s="1"/>
  <c r="E423" i="4"/>
  <c r="F423" i="4" s="1"/>
  <c r="C423" i="4"/>
  <c r="H422" i="4"/>
  <c r="L422" i="4" s="1"/>
  <c r="E422" i="4"/>
  <c r="F422" i="4" s="1"/>
  <c r="C422" i="4"/>
  <c r="H421" i="4"/>
  <c r="J421" i="4" s="1"/>
  <c r="E421" i="4"/>
  <c r="F421" i="4" s="1"/>
  <c r="C421" i="4"/>
  <c r="H420" i="4"/>
  <c r="L420" i="4" s="1"/>
  <c r="E420" i="4"/>
  <c r="F420" i="4" s="1"/>
  <c r="C420" i="4"/>
  <c r="H419" i="4"/>
  <c r="I419" i="4" s="1"/>
  <c r="E419" i="4"/>
  <c r="F419" i="4" s="1"/>
  <c r="C419" i="4"/>
  <c r="H418" i="4"/>
  <c r="L418" i="4" s="1"/>
  <c r="E418" i="4"/>
  <c r="F418" i="4" s="1"/>
  <c r="C418" i="4"/>
  <c r="H417" i="4"/>
  <c r="L417" i="4" s="1"/>
  <c r="E417" i="4"/>
  <c r="C417" i="4"/>
  <c r="H416" i="4"/>
  <c r="L416" i="4" s="1"/>
  <c r="E416" i="4"/>
  <c r="F416" i="4" s="1"/>
  <c r="C416" i="4"/>
  <c r="H415" i="4"/>
  <c r="N415" i="4" s="1"/>
  <c r="E415" i="4"/>
  <c r="C415" i="4"/>
  <c r="H414" i="4"/>
  <c r="L414" i="4" s="1"/>
  <c r="E414" i="4"/>
  <c r="F414" i="4" s="1"/>
  <c r="C414" i="4"/>
  <c r="H413" i="4"/>
  <c r="E413" i="4"/>
  <c r="C413" i="4"/>
  <c r="H412" i="4"/>
  <c r="L412" i="4" s="1"/>
  <c r="E412" i="4"/>
  <c r="F412" i="4" s="1"/>
  <c r="C412" i="4"/>
  <c r="H411" i="4"/>
  <c r="N411" i="4" s="1"/>
  <c r="E411" i="4"/>
  <c r="C411" i="4"/>
  <c r="H410" i="4"/>
  <c r="L410" i="4" s="1"/>
  <c r="E410" i="4"/>
  <c r="F410" i="4" s="1"/>
  <c r="C410" i="4"/>
  <c r="H409" i="4"/>
  <c r="E409" i="4"/>
  <c r="C409" i="4"/>
  <c r="H408" i="4"/>
  <c r="L408" i="4" s="1"/>
  <c r="E408" i="4"/>
  <c r="F408" i="4" s="1"/>
  <c r="C408" i="4"/>
  <c r="H407" i="4"/>
  <c r="N407" i="4" s="1"/>
  <c r="E407" i="4"/>
  <c r="C407" i="4"/>
  <c r="H406" i="4"/>
  <c r="L406" i="4" s="1"/>
  <c r="E406" i="4"/>
  <c r="F406" i="4" s="1"/>
  <c r="C406" i="4"/>
  <c r="H405" i="4"/>
  <c r="N405" i="4" s="1"/>
  <c r="E405" i="4"/>
  <c r="C405" i="4"/>
  <c r="H404" i="4"/>
  <c r="L404" i="4" s="1"/>
  <c r="E404" i="4"/>
  <c r="F404" i="4" s="1"/>
  <c r="C404" i="4"/>
  <c r="H403" i="4"/>
  <c r="J403" i="4" s="1"/>
  <c r="E403" i="4"/>
  <c r="C403" i="4"/>
  <c r="H402" i="4"/>
  <c r="L402" i="4" s="1"/>
  <c r="E402" i="4"/>
  <c r="F402" i="4" s="1"/>
  <c r="C402" i="4"/>
  <c r="H401" i="4"/>
  <c r="E401" i="4"/>
  <c r="C401" i="4"/>
  <c r="H400" i="4"/>
  <c r="L400" i="4" s="1"/>
  <c r="E400" i="4"/>
  <c r="F400" i="4" s="1"/>
  <c r="C400" i="4"/>
  <c r="H399" i="4"/>
  <c r="E399" i="4"/>
  <c r="C399" i="4"/>
  <c r="H398" i="4"/>
  <c r="L398" i="4" s="1"/>
  <c r="E398" i="4"/>
  <c r="F398" i="4" s="1"/>
  <c r="C398" i="4"/>
  <c r="H397" i="4"/>
  <c r="M397" i="4" s="1"/>
  <c r="E397" i="4"/>
  <c r="C397" i="4"/>
  <c r="H396" i="4"/>
  <c r="L396" i="4" s="1"/>
  <c r="E396" i="4"/>
  <c r="F396" i="4" s="1"/>
  <c r="C396" i="4"/>
  <c r="H395" i="4"/>
  <c r="E395" i="4"/>
  <c r="C395" i="4"/>
  <c r="H394" i="4"/>
  <c r="L394" i="4" s="1"/>
  <c r="E394" i="4"/>
  <c r="F394" i="4" s="1"/>
  <c r="C394" i="4"/>
  <c r="H393" i="4"/>
  <c r="E393" i="4"/>
  <c r="C393" i="4"/>
  <c r="H392" i="4"/>
  <c r="L392" i="4" s="1"/>
  <c r="E392" i="4"/>
  <c r="F392" i="4" s="1"/>
  <c r="C392" i="4"/>
  <c r="H391" i="4"/>
  <c r="E391" i="4"/>
  <c r="C391" i="4"/>
  <c r="H390" i="4"/>
  <c r="L390" i="4" s="1"/>
  <c r="E390" i="4"/>
  <c r="F390" i="4" s="1"/>
  <c r="C390" i="4"/>
  <c r="H389" i="4"/>
  <c r="M389" i="4" s="1"/>
  <c r="E389" i="4"/>
  <c r="C389" i="4"/>
  <c r="H388" i="4"/>
  <c r="L388" i="4" s="1"/>
  <c r="E388" i="4"/>
  <c r="F388" i="4" s="1"/>
  <c r="C388" i="4"/>
  <c r="H387" i="4"/>
  <c r="J387" i="4" s="1"/>
  <c r="E387" i="4"/>
  <c r="C387" i="4"/>
  <c r="H386" i="4"/>
  <c r="L386" i="4" s="1"/>
  <c r="E386" i="4"/>
  <c r="F386" i="4" s="1"/>
  <c r="C386" i="4"/>
  <c r="H385" i="4"/>
  <c r="M385" i="4" s="1"/>
  <c r="E385" i="4"/>
  <c r="C385" i="4"/>
  <c r="H384" i="4"/>
  <c r="L384" i="4" s="1"/>
  <c r="E384" i="4"/>
  <c r="F384" i="4" s="1"/>
  <c r="C384" i="4"/>
  <c r="H383" i="4"/>
  <c r="E383" i="4"/>
  <c r="C383" i="4"/>
  <c r="H382" i="4"/>
  <c r="L382" i="4" s="1"/>
  <c r="E382" i="4"/>
  <c r="F382" i="4" s="1"/>
  <c r="C382" i="4"/>
  <c r="H381" i="4"/>
  <c r="E381" i="4"/>
  <c r="C381" i="4"/>
  <c r="H380" i="4"/>
  <c r="L380" i="4" s="1"/>
  <c r="E380" i="4"/>
  <c r="F380" i="4" s="1"/>
  <c r="C380" i="4"/>
  <c r="H379" i="4"/>
  <c r="N379" i="4" s="1"/>
  <c r="E379" i="4"/>
  <c r="C379" i="4"/>
  <c r="H378" i="4"/>
  <c r="L378" i="4" s="1"/>
  <c r="E378" i="4"/>
  <c r="F378" i="4" s="1"/>
  <c r="C378" i="4"/>
  <c r="H377" i="4"/>
  <c r="M377" i="4" s="1"/>
  <c r="E377" i="4"/>
  <c r="C377" i="4"/>
  <c r="H376" i="4"/>
  <c r="L376" i="4" s="1"/>
  <c r="E376" i="4"/>
  <c r="F376" i="4" s="1"/>
  <c r="C376" i="4"/>
  <c r="H375" i="4"/>
  <c r="N375" i="4" s="1"/>
  <c r="E375" i="4"/>
  <c r="C375" i="4"/>
  <c r="H374" i="4"/>
  <c r="L374" i="4" s="1"/>
  <c r="E374" i="4"/>
  <c r="F374" i="4" s="1"/>
  <c r="C374" i="4"/>
  <c r="H373" i="4"/>
  <c r="I373" i="4" s="1"/>
  <c r="E373" i="4"/>
  <c r="C373" i="4"/>
  <c r="H372" i="4"/>
  <c r="L372" i="4" s="1"/>
  <c r="E372" i="4"/>
  <c r="F372" i="4" s="1"/>
  <c r="C372" i="4"/>
  <c r="H371" i="4"/>
  <c r="J371" i="4" s="1"/>
  <c r="E371" i="4"/>
  <c r="C371" i="4"/>
  <c r="H370" i="4"/>
  <c r="L370" i="4" s="1"/>
  <c r="E370" i="4"/>
  <c r="F370" i="4" s="1"/>
  <c r="C370" i="4"/>
  <c r="H369" i="4"/>
  <c r="J369" i="4" s="1"/>
  <c r="E369" i="4"/>
  <c r="C369" i="4"/>
  <c r="H368" i="4"/>
  <c r="L368" i="4" s="1"/>
  <c r="E368" i="4"/>
  <c r="F368" i="4" s="1"/>
  <c r="C368" i="4"/>
  <c r="H367" i="4"/>
  <c r="E367" i="4"/>
  <c r="C367" i="4"/>
  <c r="H366" i="4"/>
  <c r="E366" i="4"/>
  <c r="F366" i="4" s="1"/>
  <c r="C366" i="4"/>
  <c r="H365" i="4"/>
  <c r="E365" i="4"/>
  <c r="C365" i="4"/>
  <c r="H364" i="4"/>
  <c r="E364" i="4"/>
  <c r="F364" i="4" s="1"/>
  <c r="C364" i="4"/>
  <c r="H363" i="4"/>
  <c r="E363" i="4"/>
  <c r="C363" i="4"/>
  <c r="H362" i="4"/>
  <c r="E362" i="4"/>
  <c r="F362" i="4" s="1"/>
  <c r="C362" i="4"/>
  <c r="H361" i="4"/>
  <c r="I361" i="4" s="1"/>
  <c r="E361" i="4"/>
  <c r="C361" i="4"/>
  <c r="H360" i="4"/>
  <c r="E360" i="4"/>
  <c r="F360" i="4" s="1"/>
  <c r="C360" i="4"/>
  <c r="H359" i="4"/>
  <c r="M359" i="4" s="1"/>
  <c r="E359" i="4"/>
  <c r="C359" i="4"/>
  <c r="H358" i="4"/>
  <c r="E358" i="4"/>
  <c r="F358" i="4" s="1"/>
  <c r="C358" i="4"/>
  <c r="H357" i="4"/>
  <c r="I357" i="4" s="1"/>
  <c r="E357" i="4"/>
  <c r="C357" i="4"/>
  <c r="H356" i="4"/>
  <c r="E356" i="4"/>
  <c r="F356" i="4" s="1"/>
  <c r="C356" i="4"/>
  <c r="H355" i="4"/>
  <c r="M355" i="4" s="1"/>
  <c r="E355" i="4"/>
  <c r="C355" i="4"/>
  <c r="H354" i="4"/>
  <c r="E354" i="4"/>
  <c r="F354" i="4" s="1"/>
  <c r="C354" i="4"/>
  <c r="H353" i="4"/>
  <c r="E353" i="4"/>
  <c r="C353" i="4"/>
  <c r="H352" i="4"/>
  <c r="E352" i="4"/>
  <c r="F352" i="4" s="1"/>
  <c r="C352" i="4"/>
  <c r="H351" i="4"/>
  <c r="N351" i="4" s="1"/>
  <c r="E351" i="4"/>
  <c r="C351" i="4"/>
  <c r="H350" i="4"/>
  <c r="E350" i="4"/>
  <c r="F350" i="4" s="1"/>
  <c r="C350" i="4"/>
  <c r="H349" i="4"/>
  <c r="M349" i="4" s="1"/>
  <c r="E349" i="4"/>
  <c r="C349" i="4"/>
  <c r="H348" i="4"/>
  <c r="E348" i="4"/>
  <c r="F348" i="4" s="1"/>
  <c r="C348" i="4"/>
  <c r="H347" i="4"/>
  <c r="N347" i="4" s="1"/>
  <c r="E347" i="4"/>
  <c r="C347" i="4"/>
  <c r="H346" i="4"/>
  <c r="E346" i="4"/>
  <c r="F346" i="4" s="1"/>
  <c r="C346" i="4"/>
  <c r="H345" i="4"/>
  <c r="E345" i="4"/>
  <c r="C345" i="4"/>
  <c r="H344" i="4"/>
  <c r="E344" i="4"/>
  <c r="F344" i="4" s="1"/>
  <c r="C344" i="4"/>
  <c r="H343" i="4"/>
  <c r="E343" i="4"/>
  <c r="C343" i="4"/>
  <c r="H342" i="4"/>
  <c r="E342" i="4"/>
  <c r="F342" i="4" s="1"/>
  <c r="C342" i="4"/>
  <c r="H341" i="4"/>
  <c r="N341" i="4" s="1"/>
  <c r="E341" i="4"/>
  <c r="C341" i="4"/>
  <c r="H340" i="4"/>
  <c r="E340" i="4"/>
  <c r="F340" i="4" s="1"/>
  <c r="C340" i="4"/>
  <c r="H339" i="4"/>
  <c r="J339" i="4" s="1"/>
  <c r="E339" i="4"/>
  <c r="C339" i="4"/>
  <c r="H338" i="4"/>
  <c r="E338" i="4"/>
  <c r="F338" i="4" s="1"/>
  <c r="C338" i="4"/>
  <c r="H337" i="4"/>
  <c r="E337" i="4"/>
  <c r="C337" i="4"/>
  <c r="H336" i="4"/>
  <c r="E336" i="4"/>
  <c r="F336" i="4" s="1"/>
  <c r="C336" i="4"/>
  <c r="H335" i="4"/>
  <c r="E335" i="4"/>
  <c r="C335" i="4"/>
  <c r="H334" i="4"/>
  <c r="E334" i="4"/>
  <c r="F334" i="4" s="1"/>
  <c r="C334" i="4"/>
  <c r="H333" i="4"/>
  <c r="M333" i="4" s="1"/>
  <c r="E333" i="4"/>
  <c r="C333" i="4"/>
  <c r="H332" i="4"/>
  <c r="E332" i="4"/>
  <c r="F332" i="4" s="1"/>
  <c r="C332" i="4"/>
  <c r="H331" i="4"/>
  <c r="N331" i="4" s="1"/>
  <c r="E331" i="4"/>
  <c r="C331" i="4"/>
  <c r="H330" i="4"/>
  <c r="E330" i="4"/>
  <c r="F330" i="4" s="1"/>
  <c r="C330" i="4"/>
  <c r="H329" i="4"/>
  <c r="E329" i="4"/>
  <c r="C329" i="4"/>
  <c r="H328" i="4"/>
  <c r="E328" i="4"/>
  <c r="F328" i="4" s="1"/>
  <c r="C328" i="4"/>
  <c r="H327" i="4"/>
  <c r="E327" i="4"/>
  <c r="C327" i="4"/>
  <c r="H326" i="4"/>
  <c r="E326" i="4"/>
  <c r="F326" i="4" s="1"/>
  <c r="C326" i="4"/>
  <c r="H325" i="4"/>
  <c r="M325" i="4" s="1"/>
  <c r="E325" i="4"/>
  <c r="C325" i="4"/>
  <c r="H324" i="4"/>
  <c r="E324" i="4"/>
  <c r="F324" i="4" s="1"/>
  <c r="C324" i="4"/>
  <c r="H323" i="4"/>
  <c r="L323" i="4" s="1"/>
  <c r="E323" i="4"/>
  <c r="C323" i="4"/>
  <c r="H322" i="4"/>
  <c r="E322" i="4"/>
  <c r="F322" i="4" s="1"/>
  <c r="C322" i="4"/>
  <c r="H321" i="4"/>
  <c r="E321" i="4"/>
  <c r="C321" i="4"/>
  <c r="H320" i="4"/>
  <c r="E320" i="4"/>
  <c r="F320" i="4" s="1"/>
  <c r="C320" i="4"/>
  <c r="H319" i="4"/>
  <c r="L319" i="4" s="1"/>
  <c r="E319" i="4"/>
  <c r="C319" i="4"/>
  <c r="H318" i="4"/>
  <c r="E318" i="4"/>
  <c r="F318" i="4" s="1"/>
  <c r="C318" i="4"/>
  <c r="H317" i="4"/>
  <c r="I317" i="4" s="1"/>
  <c r="E317" i="4"/>
  <c r="C317" i="4"/>
  <c r="H316" i="4"/>
  <c r="E316" i="4"/>
  <c r="F316" i="4" s="1"/>
  <c r="C316" i="4"/>
  <c r="H315" i="4"/>
  <c r="E315" i="4"/>
  <c r="C315" i="4"/>
  <c r="H314" i="4"/>
  <c r="E314" i="4"/>
  <c r="F314" i="4" s="1"/>
  <c r="C314" i="4"/>
  <c r="H313" i="4"/>
  <c r="J313" i="4" s="1"/>
  <c r="E313" i="4"/>
  <c r="C313" i="4"/>
  <c r="H312" i="4"/>
  <c r="L312" i="4" s="1"/>
  <c r="E312" i="4"/>
  <c r="C312" i="4"/>
  <c r="H311" i="4"/>
  <c r="N311" i="4" s="1"/>
  <c r="E311" i="4"/>
  <c r="C311" i="4"/>
  <c r="H310" i="4"/>
  <c r="L310" i="4" s="1"/>
  <c r="E310" i="4"/>
  <c r="F310" i="4" s="1"/>
  <c r="C310" i="4"/>
  <c r="H309" i="4"/>
  <c r="J309" i="4" s="1"/>
  <c r="E309" i="4"/>
  <c r="C309" i="4"/>
  <c r="H308" i="4"/>
  <c r="E308" i="4"/>
  <c r="F308" i="4" s="1"/>
  <c r="C308" i="4"/>
  <c r="H307" i="4"/>
  <c r="E307" i="4"/>
  <c r="C307" i="4"/>
  <c r="H306" i="4"/>
  <c r="E306" i="4"/>
  <c r="F306" i="4" s="1"/>
  <c r="C306" i="4"/>
  <c r="H305" i="4"/>
  <c r="E305" i="4"/>
  <c r="C305" i="4"/>
  <c r="H304" i="4"/>
  <c r="L304" i="4" s="1"/>
  <c r="E304" i="4"/>
  <c r="C304" i="4"/>
  <c r="H303" i="4"/>
  <c r="M303" i="4" s="1"/>
  <c r="E303" i="4"/>
  <c r="C303" i="4"/>
  <c r="H302" i="4"/>
  <c r="L302" i="4" s="1"/>
  <c r="E302" i="4"/>
  <c r="F302" i="4" s="1"/>
  <c r="C302" i="4"/>
  <c r="H301" i="4"/>
  <c r="L301" i="4" s="1"/>
  <c r="E301" i="4"/>
  <c r="C301" i="4"/>
  <c r="H300" i="4"/>
  <c r="E300" i="4"/>
  <c r="F300" i="4" s="1"/>
  <c r="C300" i="4"/>
  <c r="H299" i="4"/>
  <c r="E299" i="4"/>
  <c r="C299" i="4"/>
  <c r="H298" i="4"/>
  <c r="E298" i="4"/>
  <c r="F298" i="4" s="1"/>
  <c r="C298" i="4"/>
  <c r="H297" i="4"/>
  <c r="M297" i="4" s="1"/>
  <c r="E297" i="4"/>
  <c r="C297" i="4"/>
  <c r="H296" i="4"/>
  <c r="L296" i="4" s="1"/>
  <c r="E296" i="4"/>
  <c r="F296" i="4" s="1"/>
  <c r="C296" i="4"/>
  <c r="H295" i="4"/>
  <c r="E295" i="4"/>
  <c r="C295" i="4"/>
  <c r="H294" i="4"/>
  <c r="L294" i="4" s="1"/>
  <c r="E294" i="4"/>
  <c r="F294" i="4" s="1"/>
  <c r="C294" i="4"/>
  <c r="H293" i="4"/>
  <c r="L293" i="4" s="1"/>
  <c r="E293" i="4"/>
  <c r="C293" i="4"/>
  <c r="H292" i="4"/>
  <c r="E292" i="4"/>
  <c r="F292" i="4" s="1"/>
  <c r="C292" i="4"/>
  <c r="H291" i="4"/>
  <c r="I291" i="4" s="1"/>
  <c r="E291" i="4"/>
  <c r="C291" i="4"/>
  <c r="H290" i="4"/>
  <c r="E290" i="4"/>
  <c r="F290" i="4" s="1"/>
  <c r="C290" i="4"/>
  <c r="H289" i="4"/>
  <c r="E289" i="4"/>
  <c r="C289" i="4"/>
  <c r="H288" i="4"/>
  <c r="E288" i="4"/>
  <c r="F288" i="4" s="1"/>
  <c r="C288" i="4"/>
  <c r="H287" i="4"/>
  <c r="I287" i="4" s="1"/>
  <c r="E287" i="4"/>
  <c r="C287" i="4"/>
  <c r="H286" i="4"/>
  <c r="L286" i="4" s="1"/>
  <c r="E286" i="4"/>
  <c r="F286" i="4" s="1"/>
  <c r="C286" i="4"/>
  <c r="H285" i="4"/>
  <c r="E285" i="4"/>
  <c r="C285" i="4"/>
  <c r="H284" i="4"/>
  <c r="E284" i="4"/>
  <c r="F284" i="4" s="1"/>
  <c r="C284" i="4"/>
  <c r="H283" i="4"/>
  <c r="L283" i="4" s="1"/>
  <c r="E283" i="4"/>
  <c r="C283" i="4"/>
  <c r="H282" i="4"/>
  <c r="E282" i="4"/>
  <c r="F282" i="4" s="1"/>
  <c r="C282" i="4"/>
  <c r="H281" i="4"/>
  <c r="J281" i="4" s="1"/>
  <c r="E281" i="4"/>
  <c r="C281" i="4"/>
  <c r="H280" i="4"/>
  <c r="L280" i="4" s="1"/>
  <c r="E280" i="4"/>
  <c r="F280" i="4" s="1"/>
  <c r="C280" i="4"/>
  <c r="H279" i="4"/>
  <c r="E279" i="4"/>
  <c r="C279" i="4"/>
  <c r="H278" i="4"/>
  <c r="L278" i="4" s="1"/>
  <c r="E278" i="4"/>
  <c r="F278" i="4" s="1"/>
  <c r="C278" i="4"/>
  <c r="H277" i="4"/>
  <c r="I277" i="4" s="1"/>
  <c r="E277" i="4"/>
  <c r="C277" i="4"/>
  <c r="H276" i="4"/>
  <c r="E276" i="4"/>
  <c r="F276" i="4" s="1"/>
  <c r="C276" i="4"/>
  <c r="H275" i="4"/>
  <c r="E275" i="4"/>
  <c r="C275" i="4"/>
  <c r="H274" i="4"/>
  <c r="E274" i="4"/>
  <c r="F274" i="4" s="1"/>
  <c r="C274" i="4"/>
  <c r="H273" i="4"/>
  <c r="I273" i="4" s="1"/>
  <c r="E273" i="4"/>
  <c r="C273" i="4"/>
  <c r="H272" i="4"/>
  <c r="L272" i="4" s="1"/>
  <c r="E272" i="4"/>
  <c r="C272" i="4"/>
  <c r="H271" i="4"/>
  <c r="E271" i="4"/>
  <c r="C271" i="4"/>
  <c r="H270" i="4"/>
  <c r="L270" i="4" s="1"/>
  <c r="E270" i="4"/>
  <c r="F270" i="4" s="1"/>
  <c r="C270" i="4"/>
  <c r="H269" i="4"/>
  <c r="M269" i="4" s="1"/>
  <c r="E269" i="4"/>
  <c r="C269" i="4"/>
  <c r="H268" i="4"/>
  <c r="E268" i="4"/>
  <c r="F268" i="4" s="1"/>
  <c r="C268" i="4"/>
  <c r="H267" i="4"/>
  <c r="L267" i="4" s="1"/>
  <c r="E267" i="4"/>
  <c r="C267" i="4"/>
  <c r="H266" i="4"/>
  <c r="E266" i="4"/>
  <c r="F266" i="4" s="1"/>
  <c r="C266" i="4"/>
  <c r="H265" i="4"/>
  <c r="J265" i="4" s="1"/>
  <c r="E265" i="4"/>
  <c r="C265" i="4"/>
  <c r="H264" i="4"/>
  <c r="L264" i="4" s="1"/>
  <c r="E264" i="4"/>
  <c r="F264" i="4" s="1"/>
  <c r="C264" i="4"/>
  <c r="H263" i="4"/>
  <c r="N263" i="4" s="1"/>
  <c r="E263" i="4"/>
  <c r="C263" i="4"/>
  <c r="H262" i="4"/>
  <c r="L262" i="4" s="1"/>
  <c r="E262" i="4"/>
  <c r="F262" i="4" s="1"/>
  <c r="C262" i="4"/>
  <c r="H261" i="4"/>
  <c r="J261" i="4" s="1"/>
  <c r="E261" i="4"/>
  <c r="C261" i="4"/>
  <c r="H260" i="4"/>
  <c r="E260" i="4"/>
  <c r="F260" i="4" s="1"/>
  <c r="C260" i="4"/>
  <c r="H259" i="4"/>
  <c r="E259" i="4"/>
  <c r="C259" i="4"/>
  <c r="H258" i="4"/>
  <c r="I258" i="4" s="1"/>
  <c r="E258" i="4"/>
  <c r="F258" i="4" s="1"/>
  <c r="C258" i="4"/>
  <c r="H257" i="4"/>
  <c r="L257" i="4" s="1"/>
  <c r="E257" i="4"/>
  <c r="C257" i="4"/>
  <c r="H256" i="4"/>
  <c r="L256" i="4" s="1"/>
  <c r="E256" i="4"/>
  <c r="C256" i="4"/>
  <c r="H255" i="4"/>
  <c r="E255" i="4"/>
  <c r="F255" i="4" s="1"/>
  <c r="C255" i="4"/>
  <c r="H254" i="4"/>
  <c r="L254" i="4" s="1"/>
  <c r="E254" i="4"/>
  <c r="F254" i="4" s="1"/>
  <c r="C254" i="4"/>
  <c r="H253" i="4"/>
  <c r="L253" i="4" s="1"/>
  <c r="E253" i="4"/>
  <c r="C253" i="4"/>
  <c r="H252" i="4"/>
  <c r="M252" i="4" s="1"/>
  <c r="E252" i="4"/>
  <c r="F252" i="4" s="1"/>
  <c r="C252" i="4"/>
  <c r="H251" i="4"/>
  <c r="E251" i="4"/>
  <c r="C251" i="4"/>
  <c r="H250" i="4"/>
  <c r="I250" i="4" s="1"/>
  <c r="E250" i="4"/>
  <c r="F250" i="4" s="1"/>
  <c r="C250" i="4"/>
  <c r="H249" i="4"/>
  <c r="N249" i="4" s="1"/>
  <c r="E249" i="4"/>
  <c r="C249" i="4"/>
  <c r="H248" i="4"/>
  <c r="L248" i="4" s="1"/>
  <c r="E248" i="4"/>
  <c r="F248" i="4" s="1"/>
  <c r="C248" i="4"/>
  <c r="H247" i="4"/>
  <c r="L247" i="4" s="1"/>
  <c r="E247" i="4"/>
  <c r="C247" i="4"/>
  <c r="H246" i="4"/>
  <c r="L246" i="4" s="1"/>
  <c r="E246" i="4"/>
  <c r="F246" i="4" s="1"/>
  <c r="C246" i="4"/>
  <c r="H245" i="4"/>
  <c r="E245" i="4"/>
  <c r="C245" i="4"/>
  <c r="H244" i="4"/>
  <c r="M244" i="4" s="1"/>
  <c r="E244" i="4"/>
  <c r="F244" i="4" s="1"/>
  <c r="C244" i="4"/>
  <c r="H243" i="4"/>
  <c r="E243" i="4"/>
  <c r="C243" i="4"/>
  <c r="H242" i="4"/>
  <c r="L242" i="4" s="1"/>
  <c r="E242" i="4"/>
  <c r="F242" i="4" s="1"/>
  <c r="C242" i="4"/>
  <c r="H241" i="4"/>
  <c r="E241" i="4"/>
  <c r="C241" i="4"/>
  <c r="H240" i="4"/>
  <c r="E240" i="4"/>
  <c r="F240" i="4" s="1"/>
  <c r="C240" i="4"/>
  <c r="H239" i="4"/>
  <c r="N239" i="4" s="1"/>
  <c r="E239" i="4"/>
  <c r="C239" i="4"/>
  <c r="H238" i="4"/>
  <c r="L238" i="4" s="1"/>
  <c r="E238" i="4"/>
  <c r="F238" i="4" s="1"/>
  <c r="C238" i="4"/>
  <c r="H237" i="4"/>
  <c r="M237" i="4" s="1"/>
  <c r="E237" i="4"/>
  <c r="C237" i="4"/>
  <c r="H236" i="4"/>
  <c r="M236" i="4" s="1"/>
  <c r="E236" i="4"/>
  <c r="F236" i="4" s="1"/>
  <c r="C236" i="4"/>
  <c r="H235" i="4"/>
  <c r="E235" i="4"/>
  <c r="C235" i="4"/>
  <c r="H234" i="4"/>
  <c r="I234" i="4" s="1"/>
  <c r="E234" i="4"/>
  <c r="F234" i="4" s="1"/>
  <c r="C234" i="4"/>
  <c r="H233" i="4"/>
  <c r="N233" i="4" s="1"/>
  <c r="E233" i="4"/>
  <c r="F233" i="4" s="1"/>
  <c r="C233" i="4"/>
  <c r="H232" i="4"/>
  <c r="N232" i="4" s="1"/>
  <c r="E232" i="4"/>
  <c r="C232" i="4"/>
  <c r="H231" i="4"/>
  <c r="N231" i="4" s="1"/>
  <c r="E231" i="4"/>
  <c r="F231" i="4" s="1"/>
  <c r="C231" i="4"/>
  <c r="H230" i="4"/>
  <c r="E230" i="4"/>
  <c r="C230" i="4"/>
  <c r="H229" i="4"/>
  <c r="N229" i="4" s="1"/>
  <c r="E229" i="4"/>
  <c r="F229" i="4" s="1"/>
  <c r="C229" i="4"/>
  <c r="H228" i="4"/>
  <c r="L228" i="4" s="1"/>
  <c r="E228" i="4"/>
  <c r="C228" i="4"/>
  <c r="H227" i="4"/>
  <c r="N227" i="4" s="1"/>
  <c r="E227" i="4"/>
  <c r="F227" i="4" s="1"/>
  <c r="C227" i="4"/>
  <c r="H226" i="4"/>
  <c r="E226" i="4"/>
  <c r="C226" i="4"/>
  <c r="H225" i="4"/>
  <c r="E225" i="4"/>
  <c r="F225" i="4" s="1"/>
  <c r="C225" i="4"/>
  <c r="H224" i="4"/>
  <c r="L224" i="4" s="1"/>
  <c r="E224" i="4"/>
  <c r="C224" i="4"/>
  <c r="H223" i="4"/>
  <c r="N223" i="4" s="1"/>
  <c r="E223" i="4"/>
  <c r="F223" i="4" s="1"/>
  <c r="C223" i="4"/>
  <c r="H222" i="4"/>
  <c r="E222" i="4"/>
  <c r="C222" i="4"/>
  <c r="H221" i="4"/>
  <c r="N221" i="4" s="1"/>
  <c r="E221" i="4"/>
  <c r="F221" i="4" s="1"/>
  <c r="C221" i="4"/>
  <c r="H220" i="4"/>
  <c r="L220" i="4" s="1"/>
  <c r="E220" i="4"/>
  <c r="C220" i="4"/>
  <c r="H219" i="4"/>
  <c r="N219" i="4" s="1"/>
  <c r="E219" i="4"/>
  <c r="F219" i="4" s="1"/>
  <c r="C219" i="4"/>
  <c r="H218" i="4"/>
  <c r="L218" i="4" s="1"/>
  <c r="E218" i="4"/>
  <c r="C218" i="4"/>
  <c r="H217" i="4"/>
  <c r="N217" i="4" s="1"/>
  <c r="E217" i="4"/>
  <c r="F217" i="4" s="1"/>
  <c r="C217" i="4"/>
  <c r="H216" i="4"/>
  <c r="E216" i="4"/>
  <c r="C216" i="4"/>
  <c r="H215" i="4"/>
  <c r="N215" i="4" s="1"/>
  <c r="E215" i="4"/>
  <c r="F215" i="4" s="1"/>
  <c r="C215" i="4"/>
  <c r="H214" i="4"/>
  <c r="L214" i="4" s="1"/>
  <c r="E214" i="4"/>
  <c r="C214" i="4"/>
  <c r="H213" i="4"/>
  <c r="N213" i="4" s="1"/>
  <c r="E213" i="4"/>
  <c r="F213" i="4" s="1"/>
  <c r="C213" i="4"/>
  <c r="H212" i="4"/>
  <c r="E212" i="4"/>
  <c r="C212" i="4"/>
  <c r="H211" i="4"/>
  <c r="E211" i="4"/>
  <c r="F211" i="4" s="1"/>
  <c r="C211" i="4"/>
  <c r="H210" i="4"/>
  <c r="E210" i="4"/>
  <c r="C210" i="4"/>
  <c r="H209" i="4"/>
  <c r="E209" i="4"/>
  <c r="F209" i="4" s="1"/>
  <c r="C209" i="4"/>
  <c r="H208" i="4"/>
  <c r="L208" i="4" s="1"/>
  <c r="E208" i="4"/>
  <c r="C208" i="4"/>
  <c r="H207" i="4"/>
  <c r="N207" i="4" s="1"/>
  <c r="E207" i="4"/>
  <c r="F207" i="4" s="1"/>
  <c r="C207" i="4"/>
  <c r="H206" i="4"/>
  <c r="L206" i="4" s="1"/>
  <c r="E206" i="4"/>
  <c r="C206" i="4"/>
  <c r="H205" i="4"/>
  <c r="N205" i="4" s="1"/>
  <c r="E205" i="4"/>
  <c r="F205" i="4" s="1"/>
  <c r="C205" i="4"/>
  <c r="H204" i="4"/>
  <c r="L204" i="4" s="1"/>
  <c r="E204" i="4"/>
  <c r="C204" i="4"/>
  <c r="H203" i="4"/>
  <c r="N203" i="4" s="1"/>
  <c r="E203" i="4"/>
  <c r="F203" i="4" s="1"/>
  <c r="C203" i="4"/>
  <c r="H202" i="4"/>
  <c r="L202" i="4" s="1"/>
  <c r="E202" i="4"/>
  <c r="C202" i="4"/>
  <c r="H201" i="4"/>
  <c r="N201" i="4" s="1"/>
  <c r="E201" i="4"/>
  <c r="F201" i="4" s="1"/>
  <c r="C201" i="4"/>
  <c r="H200" i="4"/>
  <c r="L200" i="4" s="1"/>
  <c r="E200" i="4"/>
  <c r="C200" i="4"/>
  <c r="H199" i="4"/>
  <c r="N199" i="4" s="1"/>
  <c r="E199" i="4"/>
  <c r="F199" i="4" s="1"/>
  <c r="C199" i="4"/>
  <c r="H198" i="4"/>
  <c r="L198" i="4" s="1"/>
  <c r="E198" i="4"/>
  <c r="C198" i="4"/>
  <c r="H197" i="4"/>
  <c r="N197" i="4" s="1"/>
  <c r="E197" i="4"/>
  <c r="F197" i="4" s="1"/>
  <c r="C197" i="4"/>
  <c r="H196" i="4"/>
  <c r="L196" i="4" s="1"/>
  <c r="E196" i="4"/>
  <c r="C196" i="4"/>
  <c r="H195" i="4"/>
  <c r="N195" i="4" s="1"/>
  <c r="E195" i="4"/>
  <c r="C195" i="4"/>
  <c r="H194" i="4"/>
  <c r="N194" i="4" s="1"/>
  <c r="E194" i="4"/>
  <c r="C194" i="4"/>
  <c r="H193" i="4"/>
  <c r="E193" i="4"/>
  <c r="F193" i="4" s="1"/>
  <c r="C193" i="4"/>
  <c r="H192" i="4"/>
  <c r="L192" i="4" s="1"/>
  <c r="E192" i="4"/>
  <c r="C192" i="4"/>
  <c r="H191" i="4"/>
  <c r="N191" i="4" s="1"/>
  <c r="E191" i="4"/>
  <c r="F191" i="4" s="1"/>
  <c r="C191" i="4"/>
  <c r="H190" i="4"/>
  <c r="L190" i="4" s="1"/>
  <c r="E190" i="4"/>
  <c r="C190" i="4"/>
  <c r="H189" i="4"/>
  <c r="N189" i="4" s="1"/>
  <c r="E189" i="4"/>
  <c r="F189" i="4" s="1"/>
  <c r="C189" i="4"/>
  <c r="H188" i="4"/>
  <c r="L188" i="4" s="1"/>
  <c r="E188" i="4"/>
  <c r="C188" i="4"/>
  <c r="H187" i="4"/>
  <c r="N187" i="4" s="1"/>
  <c r="E187" i="4"/>
  <c r="F187" i="4" s="1"/>
  <c r="C187" i="4"/>
  <c r="H186" i="4"/>
  <c r="L186" i="4" s="1"/>
  <c r="E186" i="4"/>
  <c r="C186" i="4"/>
  <c r="H185" i="4"/>
  <c r="N185" i="4" s="1"/>
  <c r="E185" i="4"/>
  <c r="F185" i="4" s="1"/>
  <c r="C185" i="4"/>
  <c r="H184" i="4"/>
  <c r="L184" i="4" s="1"/>
  <c r="E184" i="4"/>
  <c r="C184" i="4"/>
  <c r="H183" i="4"/>
  <c r="N183" i="4" s="1"/>
  <c r="E183" i="4"/>
  <c r="F183" i="4" s="1"/>
  <c r="C183" i="4"/>
  <c r="H182" i="4"/>
  <c r="L182" i="4" s="1"/>
  <c r="E182" i="4"/>
  <c r="C182" i="4"/>
  <c r="H181" i="4"/>
  <c r="N181" i="4" s="1"/>
  <c r="E181" i="4"/>
  <c r="F181" i="4" s="1"/>
  <c r="C181" i="4"/>
  <c r="H180" i="4"/>
  <c r="L180" i="4" s="1"/>
  <c r="E180" i="4"/>
  <c r="C180" i="4"/>
  <c r="H179" i="4"/>
  <c r="N179" i="4" s="1"/>
  <c r="E179" i="4"/>
  <c r="F179" i="4" s="1"/>
  <c r="C179" i="4"/>
  <c r="H178" i="4"/>
  <c r="E178" i="4"/>
  <c r="C178" i="4"/>
  <c r="H177" i="4"/>
  <c r="E177" i="4"/>
  <c r="F177" i="4" s="1"/>
  <c r="C177" i="4"/>
  <c r="H176" i="4"/>
  <c r="E176" i="4"/>
  <c r="C176" i="4"/>
  <c r="H175" i="4"/>
  <c r="N175" i="4" s="1"/>
  <c r="E175" i="4"/>
  <c r="F175" i="4" s="1"/>
  <c r="C175" i="4"/>
  <c r="H174" i="4"/>
  <c r="L174" i="4" s="1"/>
  <c r="E174" i="4"/>
  <c r="C174" i="4"/>
  <c r="H173" i="4"/>
  <c r="N173" i="4" s="1"/>
  <c r="E173" i="4"/>
  <c r="F173" i="4" s="1"/>
  <c r="C173" i="4"/>
  <c r="H172" i="4"/>
  <c r="E172" i="4"/>
  <c r="C172" i="4"/>
  <c r="H171" i="4"/>
  <c r="N171" i="4" s="1"/>
  <c r="E171" i="4"/>
  <c r="F171" i="4" s="1"/>
  <c r="C171" i="4"/>
  <c r="H170" i="4"/>
  <c r="E170" i="4"/>
  <c r="C170" i="4"/>
  <c r="H169" i="4"/>
  <c r="N169" i="4" s="1"/>
  <c r="E169" i="4"/>
  <c r="F169" i="4" s="1"/>
  <c r="C169" i="4"/>
  <c r="H168" i="4"/>
  <c r="L168" i="4" s="1"/>
  <c r="E168" i="4"/>
  <c r="C168" i="4"/>
  <c r="H167" i="4"/>
  <c r="N167" i="4" s="1"/>
  <c r="E167" i="4"/>
  <c r="F167" i="4" s="1"/>
  <c r="C167" i="4"/>
  <c r="H166" i="4"/>
  <c r="E166" i="4"/>
  <c r="C166" i="4"/>
  <c r="H165" i="4"/>
  <c r="N165" i="4" s="1"/>
  <c r="E165" i="4"/>
  <c r="F165" i="4" s="1"/>
  <c r="C165" i="4"/>
  <c r="H164" i="4"/>
  <c r="L164" i="4" s="1"/>
  <c r="E164" i="4"/>
  <c r="C164" i="4"/>
  <c r="H163" i="4"/>
  <c r="N163" i="4" s="1"/>
  <c r="E163" i="4"/>
  <c r="F163" i="4" s="1"/>
  <c r="C163" i="4"/>
  <c r="H162" i="4"/>
  <c r="E162" i="4"/>
  <c r="C162" i="4"/>
  <c r="H161" i="4"/>
  <c r="E161" i="4"/>
  <c r="F161" i="4" s="1"/>
  <c r="C161" i="4"/>
  <c r="H160" i="4"/>
  <c r="L160" i="4" s="1"/>
  <c r="E160" i="4"/>
  <c r="C160" i="4"/>
  <c r="H159" i="4"/>
  <c r="N159" i="4" s="1"/>
  <c r="E159" i="4"/>
  <c r="F159" i="4" s="1"/>
  <c r="C159" i="4"/>
  <c r="H158" i="4"/>
  <c r="E158" i="4"/>
  <c r="C158" i="4"/>
  <c r="H157" i="4"/>
  <c r="N157" i="4" s="1"/>
  <c r="E157" i="4"/>
  <c r="F157" i="4" s="1"/>
  <c r="C157" i="4"/>
  <c r="H156" i="4"/>
  <c r="L156" i="4" s="1"/>
  <c r="E156" i="4"/>
  <c r="C156" i="4"/>
  <c r="H155" i="4"/>
  <c r="N155" i="4" s="1"/>
  <c r="E155" i="4"/>
  <c r="F155" i="4" s="1"/>
  <c r="C155" i="4"/>
  <c r="H154" i="4"/>
  <c r="L154" i="4" s="1"/>
  <c r="E154" i="4"/>
  <c r="C154" i="4"/>
  <c r="H153" i="4"/>
  <c r="N153" i="4" s="1"/>
  <c r="E153" i="4"/>
  <c r="F153" i="4" s="1"/>
  <c r="C153" i="4"/>
  <c r="H152" i="4"/>
  <c r="E152" i="4"/>
  <c r="C152" i="4"/>
  <c r="H151" i="4"/>
  <c r="N151" i="4" s="1"/>
  <c r="E151" i="4"/>
  <c r="F151" i="4" s="1"/>
  <c r="C151" i="4"/>
  <c r="H150" i="4"/>
  <c r="L150" i="4" s="1"/>
  <c r="E150" i="4"/>
  <c r="C150" i="4"/>
  <c r="H149" i="4"/>
  <c r="N149" i="4" s="1"/>
  <c r="E149" i="4"/>
  <c r="F149" i="4" s="1"/>
  <c r="C149" i="4"/>
  <c r="H148" i="4"/>
  <c r="E148" i="4"/>
  <c r="C148" i="4"/>
  <c r="H147" i="4"/>
  <c r="E147" i="4"/>
  <c r="F147" i="4" s="1"/>
  <c r="C147" i="4"/>
  <c r="H146" i="4"/>
  <c r="E146" i="4"/>
  <c r="C146" i="4"/>
  <c r="H145" i="4"/>
  <c r="E145" i="4"/>
  <c r="F145" i="4" s="1"/>
  <c r="C145" i="4"/>
  <c r="H144" i="4"/>
  <c r="L144" i="4" s="1"/>
  <c r="E144" i="4"/>
  <c r="C144" i="4"/>
  <c r="H143" i="4"/>
  <c r="N143" i="4" s="1"/>
  <c r="E143" i="4"/>
  <c r="F143" i="4" s="1"/>
  <c r="C143" i="4"/>
  <c r="H142" i="4"/>
  <c r="L142" i="4" s="1"/>
  <c r="E142" i="4"/>
  <c r="C142" i="4"/>
  <c r="H141" i="4"/>
  <c r="N141" i="4" s="1"/>
  <c r="E141" i="4"/>
  <c r="F141" i="4" s="1"/>
  <c r="C141" i="4"/>
  <c r="H140" i="4"/>
  <c r="L140" i="4" s="1"/>
  <c r="E140" i="4"/>
  <c r="C140" i="4"/>
  <c r="H139" i="4"/>
  <c r="N139" i="4" s="1"/>
  <c r="E139" i="4"/>
  <c r="F139" i="4" s="1"/>
  <c r="C139" i="4"/>
  <c r="H138" i="4"/>
  <c r="L138" i="4" s="1"/>
  <c r="E138" i="4"/>
  <c r="C138" i="4"/>
  <c r="H137" i="4"/>
  <c r="N137" i="4" s="1"/>
  <c r="E137" i="4"/>
  <c r="F137" i="4" s="1"/>
  <c r="C137" i="4"/>
  <c r="H136" i="4"/>
  <c r="L136" i="4" s="1"/>
  <c r="E136" i="4"/>
  <c r="C136" i="4"/>
  <c r="H135" i="4"/>
  <c r="N135" i="4" s="1"/>
  <c r="E135" i="4"/>
  <c r="F135" i="4" s="1"/>
  <c r="C135" i="4"/>
  <c r="H134" i="4"/>
  <c r="L134" i="4" s="1"/>
  <c r="E134" i="4"/>
  <c r="C134" i="4"/>
  <c r="H133" i="4"/>
  <c r="N133" i="4" s="1"/>
  <c r="E133" i="4"/>
  <c r="C133" i="4"/>
  <c r="H132" i="4"/>
  <c r="L132" i="4" s="1"/>
  <c r="E132" i="4"/>
  <c r="C132" i="4"/>
  <c r="H131" i="4"/>
  <c r="N131" i="4" s="1"/>
  <c r="E131" i="4"/>
  <c r="C131" i="4"/>
  <c r="H130" i="4"/>
  <c r="L130" i="4" s="1"/>
  <c r="E130" i="4"/>
  <c r="C130" i="4"/>
  <c r="H129" i="4"/>
  <c r="N129" i="4" s="1"/>
  <c r="E129" i="4"/>
  <c r="C129" i="4"/>
  <c r="H128" i="4"/>
  <c r="L128" i="4" s="1"/>
  <c r="E128" i="4"/>
  <c r="C128" i="4"/>
  <c r="H127" i="4"/>
  <c r="N127" i="4" s="1"/>
  <c r="E127" i="4"/>
  <c r="C127" i="4"/>
  <c r="H126" i="4"/>
  <c r="L126" i="4" s="1"/>
  <c r="E126" i="4"/>
  <c r="C126" i="4"/>
  <c r="H125" i="4"/>
  <c r="N125" i="4" s="1"/>
  <c r="E125" i="4"/>
  <c r="C125" i="4"/>
  <c r="H124" i="4"/>
  <c r="L124" i="4" s="1"/>
  <c r="E124" i="4"/>
  <c r="C124" i="4"/>
  <c r="H123" i="4"/>
  <c r="N123" i="4" s="1"/>
  <c r="E123" i="4"/>
  <c r="C123" i="4"/>
  <c r="H122" i="4"/>
  <c r="L122" i="4" s="1"/>
  <c r="E122" i="4"/>
  <c r="C122" i="4"/>
  <c r="H121" i="4"/>
  <c r="N121" i="4" s="1"/>
  <c r="E121" i="4"/>
  <c r="C121" i="4"/>
  <c r="H120" i="4"/>
  <c r="L120" i="4" s="1"/>
  <c r="E120" i="4"/>
  <c r="C120" i="4"/>
  <c r="H119" i="4"/>
  <c r="N119" i="4" s="1"/>
  <c r="E119" i="4"/>
  <c r="C119" i="4"/>
  <c r="H118" i="4"/>
  <c r="L118" i="4" s="1"/>
  <c r="E118" i="4"/>
  <c r="C118" i="4"/>
  <c r="H117" i="4"/>
  <c r="N117" i="4" s="1"/>
  <c r="E117" i="4"/>
  <c r="C117" i="4"/>
  <c r="H116" i="4"/>
  <c r="L116" i="4" s="1"/>
  <c r="E116" i="4"/>
  <c r="C116" i="4"/>
  <c r="H115" i="4"/>
  <c r="N115" i="4" s="1"/>
  <c r="E115" i="4"/>
  <c r="C115" i="4"/>
  <c r="H114" i="4"/>
  <c r="L114" i="4" s="1"/>
  <c r="E114" i="4"/>
  <c r="C114" i="4"/>
  <c r="H113" i="4"/>
  <c r="N113" i="4" s="1"/>
  <c r="E113" i="4"/>
  <c r="C113" i="4"/>
  <c r="H112" i="4"/>
  <c r="L112" i="4" s="1"/>
  <c r="E112" i="4"/>
  <c r="C112" i="4"/>
  <c r="H111" i="4"/>
  <c r="N111" i="4" s="1"/>
  <c r="E111" i="4"/>
  <c r="C111" i="4"/>
  <c r="H110" i="4"/>
  <c r="L110" i="4" s="1"/>
  <c r="E110" i="4"/>
  <c r="C110" i="4"/>
  <c r="H109" i="4"/>
  <c r="N109" i="4" s="1"/>
  <c r="E109" i="4"/>
  <c r="C109" i="4"/>
  <c r="H108" i="4"/>
  <c r="L108" i="4" s="1"/>
  <c r="E108" i="4"/>
  <c r="C108" i="4"/>
  <c r="H107" i="4"/>
  <c r="N107" i="4" s="1"/>
  <c r="E107" i="4"/>
  <c r="C107" i="4"/>
  <c r="H106" i="4"/>
  <c r="L106" i="4" s="1"/>
  <c r="E106" i="4"/>
  <c r="C106" i="4"/>
  <c r="H105" i="4"/>
  <c r="N105" i="4" s="1"/>
  <c r="E105" i="4"/>
  <c r="C105" i="4"/>
  <c r="H104" i="4"/>
  <c r="L104" i="4" s="1"/>
  <c r="E104" i="4"/>
  <c r="C104" i="4"/>
  <c r="H103" i="4"/>
  <c r="N103" i="4" s="1"/>
  <c r="E103" i="4"/>
  <c r="C103" i="4"/>
  <c r="H102" i="4"/>
  <c r="L102" i="4" s="1"/>
  <c r="E102" i="4"/>
  <c r="C102" i="4"/>
  <c r="H101" i="4"/>
  <c r="N101" i="4" s="1"/>
  <c r="E101" i="4"/>
  <c r="C101" i="4"/>
  <c r="H100" i="4"/>
  <c r="L100" i="4" s="1"/>
  <c r="E100" i="4"/>
  <c r="C100" i="4"/>
  <c r="H99" i="4"/>
  <c r="N99" i="4" s="1"/>
  <c r="E99" i="4"/>
  <c r="C99" i="4"/>
  <c r="H98" i="4"/>
  <c r="L98" i="4" s="1"/>
  <c r="E98" i="4"/>
  <c r="C98" i="4"/>
  <c r="H97" i="4"/>
  <c r="N97" i="4" s="1"/>
  <c r="E97" i="4"/>
  <c r="C97" i="4"/>
  <c r="H96" i="4"/>
  <c r="L96" i="4" s="1"/>
  <c r="E96" i="4"/>
  <c r="C96" i="4"/>
  <c r="H95" i="4"/>
  <c r="N95" i="4" s="1"/>
  <c r="E95" i="4"/>
  <c r="C95" i="4"/>
  <c r="H94" i="4"/>
  <c r="L94" i="4" s="1"/>
  <c r="E94" i="4"/>
  <c r="C94" i="4"/>
  <c r="H93" i="4"/>
  <c r="L93" i="4" s="1"/>
  <c r="E93" i="4"/>
  <c r="C93" i="4"/>
  <c r="H92" i="4"/>
  <c r="L92" i="4" s="1"/>
  <c r="E92" i="4"/>
  <c r="C92" i="4"/>
  <c r="H91" i="4"/>
  <c r="L91" i="4" s="1"/>
  <c r="E91" i="4"/>
  <c r="F91" i="4" s="1"/>
  <c r="C91" i="4"/>
  <c r="H90" i="4"/>
  <c r="L90" i="4" s="1"/>
  <c r="E90" i="4"/>
  <c r="C90" i="4"/>
  <c r="H89" i="4"/>
  <c r="L89" i="4" s="1"/>
  <c r="E89" i="4"/>
  <c r="F89" i="4" s="1"/>
  <c r="C89" i="4"/>
  <c r="H88" i="4"/>
  <c r="L88" i="4" s="1"/>
  <c r="E88" i="4"/>
  <c r="C88" i="4"/>
  <c r="H87" i="4"/>
  <c r="E87" i="4"/>
  <c r="F87" i="4" s="1"/>
  <c r="C87" i="4"/>
  <c r="H86" i="4"/>
  <c r="N86" i="4" s="1"/>
  <c r="E86" i="4"/>
  <c r="C86" i="4"/>
  <c r="H85" i="4"/>
  <c r="L85" i="4" s="1"/>
  <c r="E85" i="4"/>
  <c r="C85" i="4"/>
  <c r="H84" i="4"/>
  <c r="L84" i="4" s="1"/>
  <c r="E84" i="4"/>
  <c r="C84" i="4"/>
  <c r="H83" i="4"/>
  <c r="L83" i="4" s="1"/>
  <c r="E83" i="4"/>
  <c r="F83" i="4" s="1"/>
  <c r="C83" i="4"/>
  <c r="H82" i="4"/>
  <c r="L82" i="4" s="1"/>
  <c r="E82" i="4"/>
  <c r="C82" i="4"/>
  <c r="H81" i="4"/>
  <c r="L81" i="4" s="1"/>
  <c r="E81" i="4"/>
  <c r="F81" i="4" s="1"/>
  <c r="C81" i="4"/>
  <c r="H80" i="4"/>
  <c r="L80" i="4" s="1"/>
  <c r="E80" i="4"/>
  <c r="C80" i="4"/>
  <c r="H79" i="4"/>
  <c r="L79" i="4" s="1"/>
  <c r="E79" i="4"/>
  <c r="F79" i="4" s="1"/>
  <c r="C79" i="4"/>
  <c r="H78" i="4"/>
  <c r="L78" i="4" s="1"/>
  <c r="E78" i="4"/>
  <c r="C78" i="4"/>
  <c r="H77" i="4"/>
  <c r="L77" i="4" s="1"/>
  <c r="E77" i="4"/>
  <c r="C77" i="4"/>
  <c r="H76" i="4"/>
  <c r="L76" i="4" s="1"/>
  <c r="E76" i="4"/>
  <c r="C76" i="4"/>
  <c r="H75" i="4"/>
  <c r="E75" i="4"/>
  <c r="F75" i="4" s="1"/>
  <c r="C75" i="4"/>
  <c r="H74" i="4"/>
  <c r="N74" i="4" s="1"/>
  <c r="E74" i="4"/>
  <c r="C74" i="4"/>
  <c r="H73" i="4"/>
  <c r="L73" i="4" s="1"/>
  <c r="E73" i="4"/>
  <c r="F73" i="4" s="1"/>
  <c r="C73" i="4"/>
  <c r="H72" i="4"/>
  <c r="N72" i="4" s="1"/>
  <c r="E72" i="4"/>
  <c r="C72" i="4"/>
  <c r="H71" i="4"/>
  <c r="L71" i="4" s="1"/>
  <c r="E71" i="4"/>
  <c r="F71" i="4" s="1"/>
  <c r="C71" i="4"/>
  <c r="H70" i="4"/>
  <c r="L70" i="4" s="1"/>
  <c r="E70" i="4"/>
  <c r="C70" i="4"/>
  <c r="H69" i="4"/>
  <c r="L69" i="4" s="1"/>
  <c r="E69" i="4"/>
  <c r="C69" i="4"/>
  <c r="H68" i="4"/>
  <c r="E68" i="4"/>
  <c r="C68" i="4"/>
  <c r="H67" i="4"/>
  <c r="E67" i="4"/>
  <c r="F67" i="4" s="1"/>
  <c r="C67" i="4"/>
  <c r="H66" i="4"/>
  <c r="L66" i="4" s="1"/>
  <c r="E66" i="4"/>
  <c r="C66" i="4"/>
  <c r="H65" i="4"/>
  <c r="L65" i="4" s="1"/>
  <c r="E65" i="4"/>
  <c r="F65" i="4" s="1"/>
  <c r="C65" i="4"/>
  <c r="H64" i="4"/>
  <c r="L64" i="4" s="1"/>
  <c r="E64" i="4"/>
  <c r="C64" i="4"/>
  <c r="H63" i="4"/>
  <c r="L63" i="4" s="1"/>
  <c r="E63" i="4"/>
  <c r="F63" i="4" s="1"/>
  <c r="C63" i="4"/>
  <c r="H62" i="4"/>
  <c r="L62" i="4" s="1"/>
  <c r="E62" i="4"/>
  <c r="C62" i="4"/>
  <c r="H61" i="4"/>
  <c r="L61" i="4" s="1"/>
  <c r="E61" i="4"/>
  <c r="C61" i="4"/>
  <c r="H60" i="4"/>
  <c r="L60" i="4" s="1"/>
  <c r="E60" i="4"/>
  <c r="C60" i="4"/>
  <c r="H59" i="4"/>
  <c r="E59" i="4"/>
  <c r="F59" i="4" s="1"/>
  <c r="C59" i="4"/>
  <c r="H58" i="4"/>
  <c r="E58" i="4"/>
  <c r="C58" i="4"/>
  <c r="H57" i="4"/>
  <c r="L57" i="4" s="1"/>
  <c r="E57" i="4"/>
  <c r="F57" i="4" s="1"/>
  <c r="C57" i="4"/>
  <c r="H56" i="4"/>
  <c r="L56" i="4" s="1"/>
  <c r="E56" i="4"/>
  <c r="C56" i="4"/>
  <c r="H55" i="4"/>
  <c r="E55" i="4"/>
  <c r="F55" i="4" s="1"/>
  <c r="C55" i="4"/>
  <c r="H54" i="4"/>
  <c r="N54" i="4" s="1"/>
  <c r="E54" i="4"/>
  <c r="C54" i="4"/>
  <c r="H53" i="4"/>
  <c r="L53" i="4" s="1"/>
  <c r="E53" i="4"/>
  <c r="C53" i="4"/>
  <c r="H52" i="4"/>
  <c r="E52" i="4"/>
  <c r="C52" i="4"/>
  <c r="H51" i="4"/>
  <c r="L51" i="4" s="1"/>
  <c r="E51" i="4"/>
  <c r="F51" i="4" s="1"/>
  <c r="C51" i="4"/>
  <c r="H50" i="4"/>
  <c r="E50" i="4"/>
  <c r="C50" i="4"/>
  <c r="H49" i="4"/>
  <c r="L49" i="4" s="1"/>
  <c r="E49" i="4"/>
  <c r="C49" i="4"/>
  <c r="H48" i="4"/>
  <c r="L48" i="4" s="1"/>
  <c r="E48" i="4"/>
  <c r="F48" i="4" s="1"/>
  <c r="C48" i="4"/>
  <c r="H47" i="4"/>
  <c r="E47" i="4"/>
  <c r="F47" i="4" s="1"/>
  <c r="C47" i="4"/>
  <c r="H46" i="4"/>
  <c r="E46" i="4"/>
  <c r="C46" i="4"/>
  <c r="H45" i="4"/>
  <c r="L45" i="4" s="1"/>
  <c r="E45" i="4"/>
  <c r="F45" i="4" s="1"/>
  <c r="C45" i="4"/>
  <c r="H44" i="4"/>
  <c r="E44" i="4"/>
  <c r="C44" i="4"/>
  <c r="H43" i="4"/>
  <c r="E43" i="4"/>
  <c r="F43" i="4" s="1"/>
  <c r="C43" i="4"/>
  <c r="H42" i="4"/>
  <c r="L42" i="4" s="1"/>
  <c r="E42" i="4"/>
  <c r="C42" i="4"/>
  <c r="H41" i="4"/>
  <c r="E41" i="4"/>
  <c r="F41" i="4" s="1"/>
  <c r="C41" i="4"/>
  <c r="H40" i="4"/>
  <c r="E40" i="4"/>
  <c r="C40" i="4"/>
  <c r="H39" i="4"/>
  <c r="E39" i="4"/>
  <c r="F39" i="4" s="1"/>
  <c r="C39" i="4"/>
  <c r="H38" i="4"/>
  <c r="E38" i="4"/>
  <c r="C38" i="4"/>
  <c r="H37" i="4"/>
  <c r="L37" i="4" s="1"/>
  <c r="E37" i="4"/>
  <c r="F37" i="4" s="1"/>
  <c r="C37" i="4"/>
  <c r="H36" i="4"/>
  <c r="E36" i="4"/>
  <c r="C36" i="4"/>
  <c r="H35" i="4"/>
  <c r="L35" i="4" s="1"/>
  <c r="E35" i="4"/>
  <c r="F35" i="4" s="1"/>
  <c r="C35" i="4"/>
  <c r="H34" i="4"/>
  <c r="M34" i="4" s="1"/>
  <c r="E34" i="4"/>
  <c r="C34" i="4"/>
  <c r="H33" i="4"/>
  <c r="L33" i="4" s="1"/>
  <c r="E33" i="4"/>
  <c r="C33" i="4"/>
  <c r="H32" i="4"/>
  <c r="E32" i="4"/>
  <c r="F32" i="4" s="1"/>
  <c r="C32" i="4"/>
  <c r="H31" i="4"/>
  <c r="M31" i="4" s="1"/>
  <c r="E31" i="4"/>
  <c r="F31" i="4" s="1"/>
  <c r="C31" i="4"/>
  <c r="H30" i="4"/>
  <c r="E30" i="4"/>
  <c r="F30" i="4" s="1"/>
  <c r="C30" i="4"/>
  <c r="H29" i="4"/>
  <c r="M29" i="4" s="1"/>
  <c r="E29" i="4"/>
  <c r="F29" i="4" s="1"/>
  <c r="C29" i="4"/>
  <c r="H28" i="4"/>
  <c r="L28" i="4" s="1"/>
  <c r="E28" i="4"/>
  <c r="F28" i="4" s="1"/>
  <c r="C28" i="4"/>
  <c r="H27" i="4"/>
  <c r="M27" i="4" s="1"/>
  <c r="E27" i="4"/>
  <c r="F27" i="4" s="1"/>
  <c r="C27" i="4"/>
  <c r="H26" i="4"/>
  <c r="E26" i="4"/>
  <c r="F26" i="4" s="1"/>
  <c r="C26" i="4"/>
  <c r="H25" i="4"/>
  <c r="M25" i="4" s="1"/>
  <c r="E25" i="4"/>
  <c r="F25" i="4" s="1"/>
  <c r="C25" i="4"/>
  <c r="H24" i="4"/>
  <c r="L24" i="4" s="1"/>
  <c r="E24" i="4"/>
  <c r="F24" i="4" s="1"/>
  <c r="C24" i="4"/>
  <c r="H23" i="4"/>
  <c r="M23" i="4" s="1"/>
  <c r="E23" i="4"/>
  <c r="F23" i="4" s="1"/>
  <c r="C23" i="4"/>
  <c r="H22" i="4"/>
  <c r="E22" i="4"/>
  <c r="F22" i="4" s="1"/>
  <c r="C22" i="4"/>
  <c r="H21" i="4"/>
  <c r="E21" i="4"/>
  <c r="F21" i="4" s="1"/>
  <c r="C21" i="4"/>
  <c r="H20" i="4"/>
  <c r="L20" i="4" s="1"/>
  <c r="E20" i="4"/>
  <c r="F20" i="4" s="1"/>
  <c r="C20" i="4"/>
  <c r="H19" i="4"/>
  <c r="M19" i="4" s="1"/>
  <c r="E19" i="4"/>
  <c r="F19" i="4" s="1"/>
  <c r="C19" i="4"/>
  <c r="H18" i="4"/>
  <c r="E18" i="4"/>
  <c r="F18" i="4" s="1"/>
  <c r="C18" i="4"/>
  <c r="H17" i="4"/>
  <c r="N17" i="4" s="1"/>
  <c r="E17" i="4"/>
  <c r="F17" i="4" s="1"/>
  <c r="C17" i="4"/>
  <c r="H16" i="4"/>
  <c r="E16" i="4"/>
  <c r="F16" i="4" s="1"/>
  <c r="C16" i="4"/>
  <c r="H15" i="4"/>
  <c r="M15" i="4" s="1"/>
  <c r="E15" i="4"/>
  <c r="F15" i="4" s="1"/>
  <c r="C15" i="4"/>
  <c r="H14" i="4"/>
  <c r="E14" i="4"/>
  <c r="F14" i="4" s="1"/>
  <c r="C14" i="4"/>
  <c r="H13" i="4"/>
  <c r="M13" i="4" s="1"/>
  <c r="E13" i="4"/>
  <c r="F13" i="4" s="1"/>
  <c r="C13" i="4"/>
  <c r="H12" i="4"/>
  <c r="L12" i="4" s="1"/>
  <c r="E12" i="4"/>
  <c r="F12" i="4" s="1"/>
  <c r="C12" i="4"/>
  <c r="H11" i="4"/>
  <c r="M11" i="4" s="1"/>
  <c r="E11" i="4"/>
  <c r="F11" i="4" s="1"/>
  <c r="C11" i="4"/>
  <c r="H10" i="4"/>
  <c r="E10" i="4"/>
  <c r="F10" i="4" s="1"/>
  <c r="C10" i="4"/>
  <c r="H9" i="4"/>
  <c r="M9" i="4" s="1"/>
  <c r="E9" i="4"/>
  <c r="F9" i="4" s="1"/>
  <c r="C9" i="4"/>
  <c r="H8" i="4"/>
  <c r="L8" i="4" s="1"/>
  <c r="E8" i="4"/>
  <c r="F8" i="4" s="1"/>
  <c r="C8" i="4"/>
  <c r="H7" i="4"/>
  <c r="E7" i="4"/>
  <c r="F7" i="4" s="1"/>
  <c r="C7" i="4"/>
  <c r="H6" i="4"/>
  <c r="I6" i="4" s="1"/>
  <c r="E6" i="4"/>
  <c r="F6" i="4" s="1"/>
  <c r="C6" i="4"/>
  <c r="H5" i="4"/>
  <c r="E5" i="4"/>
  <c r="F5" i="4" s="1"/>
  <c r="C5" i="4"/>
  <c r="L19" i="3"/>
  <c r="I19" i="3"/>
  <c r="H19" i="3"/>
  <c r="G19" i="3"/>
  <c r="K19" i="3" s="1"/>
  <c r="F19" i="3"/>
  <c r="E19" i="3"/>
  <c r="L18" i="3"/>
  <c r="J18" i="3"/>
  <c r="I18" i="3"/>
  <c r="H18" i="3"/>
  <c r="G18" i="3"/>
  <c r="K18" i="3" s="1"/>
  <c r="F18" i="3"/>
  <c r="E18" i="3"/>
  <c r="E17" i="3"/>
  <c r="E16" i="3"/>
  <c r="I15" i="3"/>
  <c r="E15" i="3"/>
  <c r="F14" i="3"/>
  <c r="E14" i="3"/>
  <c r="E13" i="3"/>
  <c r="E12" i="3"/>
  <c r="I11" i="3"/>
  <c r="E11" i="3"/>
  <c r="F10" i="3"/>
  <c r="E10" i="3"/>
  <c r="E9" i="3"/>
  <c r="E8" i="3"/>
  <c r="I7" i="3"/>
  <c r="E7" i="3"/>
  <c r="F6" i="3"/>
  <c r="E6" i="3"/>
  <c r="E5" i="3"/>
  <c r="H35" i="2"/>
  <c r="G35" i="2"/>
  <c r="F35" i="2"/>
  <c r="E35" i="2"/>
  <c r="D35" i="2"/>
  <c r="C35" i="2"/>
  <c r="B35" i="2"/>
  <c r="A35" i="2"/>
  <c r="H34" i="2"/>
  <c r="G34" i="2"/>
  <c r="F34" i="2"/>
  <c r="E34" i="2"/>
  <c r="D34" i="2"/>
  <c r="C34" i="2"/>
  <c r="B34" i="2"/>
  <c r="A34" i="2"/>
  <c r="C33" i="2"/>
  <c r="A33" i="2"/>
  <c r="C32" i="2"/>
  <c r="A32" i="2"/>
  <c r="C31" i="2"/>
  <c r="A31" i="2"/>
  <c r="C30" i="2"/>
  <c r="A30" i="2"/>
  <c r="C29" i="2"/>
  <c r="A29" i="2"/>
  <c r="C28" i="2"/>
  <c r="A28" i="2"/>
  <c r="C27" i="2"/>
  <c r="A27" i="2"/>
  <c r="C26" i="2"/>
  <c r="A26" i="2"/>
  <c r="C25" i="2"/>
  <c r="A25" i="2"/>
  <c r="C24" i="2"/>
  <c r="A24" i="2"/>
  <c r="C23" i="2"/>
  <c r="A23" i="2"/>
  <c r="C22" i="2"/>
  <c r="A22" i="2"/>
  <c r="C21" i="2"/>
  <c r="A21" i="2"/>
  <c r="C16" i="2"/>
  <c r="B16" i="2"/>
  <c r="A16" i="2"/>
  <c r="C15" i="2"/>
  <c r="B15" i="2"/>
  <c r="A15" i="2"/>
  <c r="C14" i="2"/>
  <c r="B14" i="2"/>
  <c r="A14" i="2"/>
  <c r="C13" i="2"/>
  <c r="A13" i="2"/>
  <c r="A2" i="2"/>
  <c r="I8" i="3" l="1"/>
  <c r="I12" i="3"/>
  <c r="I16" i="3"/>
  <c r="F7" i="3"/>
  <c r="G7" i="3" s="1"/>
  <c r="F11" i="3"/>
  <c r="F15" i="3"/>
  <c r="B6" i="2"/>
  <c r="F5" i="3"/>
  <c r="G5" i="3" s="1"/>
  <c r="I6" i="3"/>
  <c r="F9" i="3"/>
  <c r="I10" i="3"/>
  <c r="F13" i="3"/>
  <c r="G13" i="3" s="1"/>
  <c r="I14" i="3"/>
  <c r="F17" i="3"/>
  <c r="I5" i="3"/>
  <c r="F8" i="3"/>
  <c r="I9" i="3"/>
  <c r="F12" i="3"/>
  <c r="I13" i="3"/>
  <c r="F16" i="3"/>
  <c r="G16" i="3" s="1"/>
  <c r="I17" i="3"/>
  <c r="J6" i="3"/>
  <c r="F22" i="2" s="1"/>
  <c r="J7" i="3"/>
  <c r="F23" i="2" s="1"/>
  <c r="J8" i="3"/>
  <c r="F24" i="2" s="1"/>
  <c r="J9" i="3"/>
  <c r="F25" i="2" s="1"/>
  <c r="J10" i="3"/>
  <c r="F26" i="2" s="1"/>
  <c r="J11" i="3"/>
  <c r="F27" i="2" s="1"/>
  <c r="J12" i="3"/>
  <c r="F28" i="2" s="1"/>
  <c r="J13" i="3"/>
  <c r="F29" i="2" s="1"/>
  <c r="J14" i="3"/>
  <c r="F30" i="2" s="1"/>
  <c r="J15" i="3"/>
  <c r="F31" i="2" s="1"/>
  <c r="J16" i="3"/>
  <c r="F32" i="2" s="1"/>
  <c r="J17" i="3"/>
  <c r="F33" i="2" s="1"/>
  <c r="G6" i="3"/>
  <c r="G8" i="3"/>
  <c r="H8" i="3" s="1"/>
  <c r="E24" i="2" s="1"/>
  <c r="G9" i="3"/>
  <c r="H9" i="3" s="1"/>
  <c r="E25" i="2" s="1"/>
  <c r="G10" i="3"/>
  <c r="G11" i="3"/>
  <c r="K11" i="3" s="1"/>
  <c r="G27" i="2" s="1"/>
  <c r="G12" i="3"/>
  <c r="D28" i="2" s="1"/>
  <c r="G15" i="3"/>
  <c r="H15" i="3" s="1"/>
  <c r="E31" i="2" s="1"/>
  <c r="G17" i="3"/>
  <c r="H17" i="3" s="1"/>
  <c r="E33" i="2" s="1"/>
  <c r="G14" i="3"/>
  <c r="K14" i="3" s="1"/>
  <c r="G30" i="2" s="1"/>
  <c r="K15" i="3"/>
  <c r="G31" i="2" s="1"/>
  <c r="H11" i="3"/>
  <c r="E27" i="2" s="1"/>
  <c r="J902" i="4"/>
  <c r="K955" i="4"/>
  <c r="N964" i="4"/>
  <c r="J803" i="4"/>
  <c r="I900" i="4"/>
  <c r="M124" i="4"/>
  <c r="N237" i="4"/>
  <c r="M807" i="4"/>
  <c r="N997" i="4"/>
  <c r="N371" i="4"/>
  <c r="M803" i="4"/>
  <c r="K97" i="4"/>
  <c r="K105" i="4"/>
  <c r="K529" i="4"/>
  <c r="K553" i="4"/>
  <c r="N1001" i="4"/>
  <c r="N1003" i="4"/>
  <c r="J957" i="4"/>
  <c r="N797" i="4"/>
  <c r="K34" i="4"/>
  <c r="M108" i="4"/>
  <c r="I206" i="4"/>
  <c r="K214" i="4"/>
  <c r="K218" i="4"/>
  <c r="M267" i="4"/>
  <c r="M449" i="4"/>
  <c r="K464" i="4"/>
  <c r="K508" i="4"/>
  <c r="K845" i="4"/>
  <c r="J900" i="4"/>
  <c r="N955" i="4"/>
  <c r="N957" i="4"/>
  <c r="M206" i="4"/>
  <c r="K237" i="4"/>
  <c r="N265" i="4"/>
  <c r="N403" i="4"/>
  <c r="L561" i="4"/>
  <c r="K104" i="4"/>
  <c r="K113" i="4"/>
  <c r="K121" i="4"/>
  <c r="K154" i="4"/>
  <c r="K186" i="4"/>
  <c r="M371" i="4"/>
  <c r="N389" i="4"/>
  <c r="K542" i="4"/>
  <c r="K663" i="4"/>
  <c r="J168" i="4"/>
  <c r="N313" i="4"/>
  <c r="I884" i="4"/>
  <c r="M66" i="4"/>
  <c r="M92" i="4"/>
  <c r="K120" i="4"/>
  <c r="K129" i="4"/>
  <c r="M168" i="4"/>
  <c r="J174" i="4"/>
  <c r="J257" i="4"/>
  <c r="I301" i="4"/>
  <c r="N303" i="4"/>
  <c r="N355" i="4"/>
  <c r="M493" i="4"/>
  <c r="K532" i="4"/>
  <c r="I835" i="4"/>
  <c r="J64" i="4"/>
  <c r="I66" i="4"/>
  <c r="M76" i="4"/>
  <c r="I174" i="4"/>
  <c r="M200" i="4"/>
  <c r="I257" i="4"/>
  <c r="N443" i="4"/>
  <c r="J493" i="4"/>
  <c r="J859" i="4"/>
  <c r="K136" i="4"/>
  <c r="K168" i="4"/>
  <c r="K188" i="4"/>
  <c r="K200" i="4"/>
  <c r="M301" i="4"/>
  <c r="M403" i="4"/>
  <c r="K507" i="4"/>
  <c r="M608" i="4"/>
  <c r="N781" i="4"/>
  <c r="I807" i="4"/>
  <c r="J25" i="4"/>
  <c r="I116" i="4"/>
  <c r="I164" i="4"/>
  <c r="M341" i="4"/>
  <c r="M417" i="4"/>
  <c r="L441" i="4"/>
  <c r="N491" i="4"/>
  <c r="M600" i="4"/>
  <c r="I628" i="4"/>
  <c r="I656" i="4"/>
  <c r="I688" i="4"/>
  <c r="J707" i="4"/>
  <c r="I785" i="4"/>
  <c r="I786" i="4"/>
  <c r="I892" i="4"/>
  <c r="M897" i="4"/>
  <c r="N397" i="4"/>
  <c r="M461" i="4"/>
  <c r="I463" i="4"/>
  <c r="M12" i="4"/>
  <c r="J13" i="4"/>
  <c r="N25" i="4"/>
  <c r="M100" i="4"/>
  <c r="M116" i="4"/>
  <c r="M132" i="4"/>
  <c r="M192" i="4"/>
  <c r="J218" i="4"/>
  <c r="J232" i="4"/>
  <c r="I265" i="4"/>
  <c r="N287" i="4"/>
  <c r="J293" i="4"/>
  <c r="I313" i="4"/>
  <c r="J333" i="4"/>
  <c r="I355" i="4"/>
  <c r="M379" i="4"/>
  <c r="J385" i="4"/>
  <c r="N387" i="4"/>
  <c r="I389" i="4"/>
  <c r="J415" i="4"/>
  <c r="L421" i="4"/>
  <c r="N423" i="4"/>
  <c r="J424" i="4"/>
  <c r="L435" i="4"/>
  <c r="N437" i="4"/>
  <c r="J438" i="4"/>
  <c r="N461" i="4"/>
  <c r="J463" i="4"/>
  <c r="N489" i="4"/>
  <c r="N529" i="4"/>
  <c r="I672" i="4"/>
  <c r="J688" i="4"/>
  <c r="N697" i="4"/>
  <c r="M707" i="4"/>
  <c r="J839" i="4"/>
  <c r="I845" i="4"/>
  <c r="I847" i="4"/>
  <c r="N890" i="4"/>
  <c r="M895" i="4"/>
  <c r="M24" i="4"/>
  <c r="M62" i="4"/>
  <c r="M88" i="4"/>
  <c r="I100" i="4"/>
  <c r="I132" i="4"/>
  <c r="I142" i="4"/>
  <c r="J184" i="4"/>
  <c r="M224" i="4"/>
  <c r="L250" i="4"/>
  <c r="I293" i="4"/>
  <c r="J34" i="4"/>
  <c r="J84" i="4"/>
  <c r="M142" i="4"/>
  <c r="J164" i="4"/>
  <c r="M182" i="4"/>
  <c r="N13" i="4"/>
  <c r="K42" i="4"/>
  <c r="J78" i="4"/>
  <c r="M84" i="4"/>
  <c r="I92" i="4"/>
  <c r="K96" i="4"/>
  <c r="I108" i="4"/>
  <c r="K112" i="4"/>
  <c r="I124" i="4"/>
  <c r="K128" i="4"/>
  <c r="K142" i="4"/>
  <c r="K160" i="4"/>
  <c r="I168" i="4"/>
  <c r="I200" i="4"/>
  <c r="M202" i="4"/>
  <c r="K220" i="4"/>
  <c r="K224" i="4"/>
  <c r="M232" i="4"/>
  <c r="J237" i="4"/>
  <c r="J247" i="4"/>
  <c r="M261" i="4"/>
  <c r="I267" i="4"/>
  <c r="N269" i="4"/>
  <c r="N297" i="4"/>
  <c r="M309" i="4"/>
  <c r="J349" i="4"/>
  <c r="N421" i="4"/>
  <c r="L433" i="4"/>
  <c r="N435" i="4"/>
  <c r="J449" i="4"/>
  <c r="M463" i="4"/>
  <c r="K474" i="4"/>
  <c r="K502" i="4"/>
  <c r="K539" i="4"/>
  <c r="J541" i="4"/>
  <c r="L568" i="4"/>
  <c r="J608" i="4"/>
  <c r="M612" i="4"/>
  <c r="M719" i="4"/>
  <c r="M797" i="4"/>
  <c r="J799" i="4"/>
  <c r="I827" i="4"/>
  <c r="J837" i="4"/>
  <c r="J845" i="4"/>
  <c r="J886" i="4"/>
  <c r="K895" i="4"/>
  <c r="M960" i="4"/>
  <c r="J974" i="4"/>
  <c r="J975" i="4"/>
  <c r="L988" i="4"/>
  <c r="J989" i="4"/>
  <c r="N999" i="4"/>
  <c r="J1001" i="4"/>
  <c r="K48" i="4"/>
  <c r="K163" i="4"/>
  <c r="K671" i="4"/>
  <c r="F663" i="4"/>
  <c r="K798" i="4"/>
  <c r="K609" i="4"/>
  <c r="K655" i="4"/>
  <c r="J579" i="4"/>
  <c r="L579" i="4"/>
  <c r="J587" i="4"/>
  <c r="L587" i="4"/>
  <c r="K864" i="4"/>
  <c r="F864" i="4"/>
  <c r="J906" i="4"/>
  <c r="L906" i="4"/>
  <c r="J946" i="4"/>
  <c r="N946" i="4"/>
  <c r="L946" i="4"/>
  <c r="I946" i="4"/>
  <c r="J60" i="4"/>
  <c r="M82" i="4"/>
  <c r="M150" i="4"/>
  <c r="M156" i="4"/>
  <c r="J180" i="4"/>
  <c r="J190" i="4"/>
  <c r="I196" i="4"/>
  <c r="K227" i="4"/>
  <c r="I228" i="4"/>
  <c r="K248" i="4"/>
  <c r="J273" i="4"/>
  <c r="I281" i="4"/>
  <c r="I283" i="4"/>
  <c r="N291" i="4"/>
  <c r="J319" i="4"/>
  <c r="J331" i="4"/>
  <c r="L429" i="4"/>
  <c r="J465" i="4"/>
  <c r="I481" i="4"/>
  <c r="J515" i="4"/>
  <c r="J517" i="4"/>
  <c r="I559" i="4"/>
  <c r="N559" i="4"/>
  <c r="L578" i="4"/>
  <c r="J578" i="4"/>
  <c r="L586" i="4"/>
  <c r="J586" i="4"/>
  <c r="N715" i="4"/>
  <c r="J715" i="4"/>
  <c r="I715" i="4"/>
  <c r="N725" i="4"/>
  <c r="I725" i="4"/>
  <c r="I737" i="4"/>
  <c r="N737" i="4"/>
  <c r="J737" i="4"/>
  <c r="L779" i="4"/>
  <c r="M779" i="4"/>
  <c r="J779" i="4"/>
  <c r="I779" i="4"/>
  <c r="N821" i="4"/>
  <c r="J821" i="4"/>
  <c r="I821" i="4"/>
  <c r="L831" i="4"/>
  <c r="J831" i="4"/>
  <c r="I831" i="4"/>
  <c r="L894" i="4"/>
  <c r="J894" i="4"/>
  <c r="F989" i="4"/>
  <c r="K989" i="4"/>
  <c r="M28" i="4"/>
  <c r="J29" i="4"/>
  <c r="M42" i="4"/>
  <c r="K49" i="4"/>
  <c r="J56" i="4"/>
  <c r="J70" i="4"/>
  <c r="M80" i="4"/>
  <c r="J90" i="4"/>
  <c r="I96" i="4"/>
  <c r="K100" i="4"/>
  <c r="I104" i="4"/>
  <c r="K108" i="4"/>
  <c r="I112" i="4"/>
  <c r="K116" i="4"/>
  <c r="I120" i="4"/>
  <c r="K124" i="4"/>
  <c r="I128" i="4"/>
  <c r="K132" i="4"/>
  <c r="I136" i="4"/>
  <c r="M138" i="4"/>
  <c r="J154" i="4"/>
  <c r="M160" i="4"/>
  <c r="K164" i="4"/>
  <c r="M164" i="4"/>
  <c r="K174" i="4"/>
  <c r="M174" i="4"/>
  <c r="K182" i="4"/>
  <c r="J186" i="4"/>
  <c r="M188" i="4"/>
  <c r="K192" i="4"/>
  <c r="M196" i="4"/>
  <c r="K206" i="4"/>
  <c r="M214" i="4"/>
  <c r="M220" i="4"/>
  <c r="J228" i="4"/>
  <c r="K232" i="4"/>
  <c r="J253" i="4"/>
  <c r="K256" i="4"/>
  <c r="M257" i="4"/>
  <c r="N277" i="4"/>
  <c r="N281" i="4"/>
  <c r="J283" i="4"/>
  <c r="M293" i="4"/>
  <c r="I323" i="4"/>
  <c r="N325" i="4"/>
  <c r="J361" i="4"/>
  <c r="J375" i="4"/>
  <c r="M411" i="4"/>
  <c r="N429" i="4"/>
  <c r="K448" i="4"/>
  <c r="J455" i="4"/>
  <c r="M465" i="4"/>
  <c r="J467" i="4"/>
  <c r="J481" i="4"/>
  <c r="I489" i="4"/>
  <c r="N513" i="4"/>
  <c r="M517" i="4"/>
  <c r="M539" i="4"/>
  <c r="I539" i="4"/>
  <c r="N664" i="4"/>
  <c r="J664" i="4"/>
  <c r="I664" i="4"/>
  <c r="N761" i="4"/>
  <c r="J761" i="4"/>
  <c r="I761" i="4"/>
  <c r="N825" i="4"/>
  <c r="M825" i="4"/>
  <c r="L863" i="4"/>
  <c r="J863" i="4"/>
  <c r="I863" i="4"/>
  <c r="L908" i="4"/>
  <c r="J908" i="4"/>
  <c r="J944" i="4"/>
  <c r="N944" i="4"/>
  <c r="L944" i="4"/>
  <c r="I986" i="4"/>
  <c r="M986" i="4"/>
  <c r="L986" i="4"/>
  <c r="N9" i="4"/>
  <c r="N29" i="4"/>
  <c r="K53" i="4"/>
  <c r="M56" i="4"/>
  <c r="M70" i="4"/>
  <c r="M90" i="4"/>
  <c r="K91" i="4"/>
  <c r="K93" i="4"/>
  <c r="M96" i="4"/>
  <c r="K101" i="4"/>
  <c r="M104" i="4"/>
  <c r="K109" i="4"/>
  <c r="M112" i="4"/>
  <c r="K117" i="4"/>
  <c r="M120" i="4"/>
  <c r="K125" i="4"/>
  <c r="M128" i="4"/>
  <c r="K133" i="4"/>
  <c r="M136" i="4"/>
  <c r="K150" i="4"/>
  <c r="K156" i="4"/>
  <c r="M186" i="4"/>
  <c r="K196" i="4"/>
  <c r="K228" i="4"/>
  <c r="M228" i="4"/>
  <c r="M283" i="4"/>
  <c r="M323" i="4"/>
  <c r="J417" i="4"/>
  <c r="N419" i="4"/>
  <c r="J420" i="4"/>
  <c r="I421" i="4"/>
  <c r="J433" i="4"/>
  <c r="J435" i="4"/>
  <c r="J441" i="4"/>
  <c r="L443" i="4"/>
  <c r="F448" i="4"/>
  <c r="N453" i="4"/>
  <c r="N467" i="4"/>
  <c r="M481" i="4"/>
  <c r="K488" i="4"/>
  <c r="M491" i="4"/>
  <c r="I493" i="4"/>
  <c r="N501" i="4"/>
  <c r="K509" i="4"/>
  <c r="K517" i="4"/>
  <c r="M525" i="4"/>
  <c r="K533" i="4"/>
  <c r="N539" i="4"/>
  <c r="L576" i="4"/>
  <c r="J576" i="4"/>
  <c r="L580" i="4"/>
  <c r="J580" i="4"/>
  <c r="L584" i="4"/>
  <c r="J584" i="4"/>
  <c r="L588" i="4"/>
  <c r="J588" i="4"/>
  <c r="N680" i="4"/>
  <c r="J680" i="4"/>
  <c r="I680" i="4"/>
  <c r="L773" i="4"/>
  <c r="I773" i="4"/>
  <c r="K832" i="4"/>
  <c r="F832" i="4"/>
  <c r="L841" i="4"/>
  <c r="J841" i="4"/>
  <c r="I841" i="4"/>
  <c r="N857" i="4"/>
  <c r="M857" i="4"/>
  <c r="I857" i="4"/>
  <c r="L879" i="4"/>
  <c r="I879" i="4"/>
  <c r="N600" i="4"/>
  <c r="N612" i="4"/>
  <c r="J656" i="4"/>
  <c r="J672" i="4"/>
  <c r="M845" i="4"/>
  <c r="M847" i="4"/>
  <c r="J884" i="4"/>
  <c r="K886" i="4"/>
  <c r="K536" i="4"/>
  <c r="N549" i="4"/>
  <c r="I551" i="4"/>
  <c r="J581" i="4"/>
  <c r="L589" i="4"/>
  <c r="J590" i="4"/>
  <c r="L591" i="4"/>
  <c r="J592" i="4"/>
  <c r="J594" i="4"/>
  <c r="I608" i="4"/>
  <c r="I616" i="4"/>
  <c r="I690" i="4"/>
  <c r="I697" i="4"/>
  <c r="J711" i="4"/>
  <c r="I719" i="4"/>
  <c r="J733" i="4"/>
  <c r="J743" i="4"/>
  <c r="I777" i="4"/>
  <c r="M791" i="4"/>
  <c r="I803" i="4"/>
  <c r="K828" i="4"/>
  <c r="K837" i="4"/>
  <c r="K854" i="4"/>
  <c r="I859" i="4"/>
  <c r="J869" i="4"/>
  <c r="I880" i="4"/>
  <c r="I895" i="4"/>
  <c r="J910" i="4"/>
  <c r="I960" i="4"/>
  <c r="L978" i="4"/>
  <c r="F536" i="4"/>
  <c r="I541" i="4"/>
  <c r="J551" i="4"/>
  <c r="K559" i="4"/>
  <c r="M594" i="4"/>
  <c r="J616" i="4"/>
  <c r="K687" i="4"/>
  <c r="K701" i="4"/>
  <c r="M711" i="4"/>
  <c r="J719" i="4"/>
  <c r="M733" i="4"/>
  <c r="M743" i="4"/>
  <c r="K857" i="4"/>
  <c r="L16" i="4"/>
  <c r="M16" i="4"/>
  <c r="L38" i="4"/>
  <c r="J38" i="4"/>
  <c r="L40" i="4"/>
  <c r="M40" i="4"/>
  <c r="L46" i="4"/>
  <c r="M46" i="4"/>
  <c r="N147" i="4"/>
  <c r="K147" i="4"/>
  <c r="L152" i="4"/>
  <c r="M152" i="4"/>
  <c r="J152" i="4"/>
  <c r="I152" i="4"/>
  <c r="L158" i="4"/>
  <c r="M158" i="4"/>
  <c r="J158" i="4"/>
  <c r="I158" i="4"/>
  <c r="L212" i="4"/>
  <c r="M212" i="4"/>
  <c r="J212" i="4"/>
  <c r="I212" i="4"/>
  <c r="J345" i="4"/>
  <c r="N345" i="4"/>
  <c r="L32" i="4"/>
  <c r="M32" i="4"/>
  <c r="I38" i="4"/>
  <c r="L44" i="4"/>
  <c r="M44" i="4"/>
  <c r="L166" i="4"/>
  <c r="M166" i="4"/>
  <c r="L176" i="4"/>
  <c r="M176" i="4"/>
  <c r="N211" i="4"/>
  <c r="K211" i="4"/>
  <c r="L216" i="4"/>
  <c r="M216" i="4"/>
  <c r="J216" i="4"/>
  <c r="I216" i="4"/>
  <c r="L222" i="4"/>
  <c r="M222" i="4"/>
  <c r="J222" i="4"/>
  <c r="I222" i="4"/>
  <c r="L235" i="4"/>
  <c r="M235" i="4"/>
  <c r="J235" i="4"/>
  <c r="I235" i="4"/>
  <c r="L255" i="4"/>
  <c r="K255" i="4"/>
  <c r="J255" i="4"/>
  <c r="I255" i="4"/>
  <c r="K490" i="4"/>
  <c r="L490" i="4"/>
  <c r="I495" i="4"/>
  <c r="N495" i="4"/>
  <c r="F615" i="4"/>
  <c r="K615" i="4"/>
  <c r="M20" i="4"/>
  <c r="N245" i="4"/>
  <c r="J245" i="4"/>
  <c r="I245" i="4"/>
  <c r="M447" i="4"/>
  <c r="J447" i="4"/>
  <c r="L557" i="4"/>
  <c r="J557" i="4"/>
  <c r="I557" i="4"/>
  <c r="M557" i="4"/>
  <c r="L170" i="4"/>
  <c r="M170" i="4"/>
  <c r="J170" i="4"/>
  <c r="N243" i="4"/>
  <c r="M243" i="4"/>
  <c r="N337" i="4"/>
  <c r="J337" i="4"/>
  <c r="I337" i="4"/>
  <c r="L393" i="4"/>
  <c r="M393" i="4"/>
  <c r="J393" i="4"/>
  <c r="I393" i="4"/>
  <c r="L466" i="4"/>
  <c r="K466" i="4"/>
  <c r="I477" i="4"/>
  <c r="N477" i="4"/>
  <c r="N497" i="4"/>
  <c r="J497" i="4"/>
  <c r="I497" i="4"/>
  <c r="L916" i="4"/>
  <c r="J916" i="4"/>
  <c r="J936" i="4"/>
  <c r="N936" i="4"/>
  <c r="L936" i="4"/>
  <c r="I968" i="4"/>
  <c r="N968" i="4"/>
  <c r="J968" i="4"/>
  <c r="L981" i="4"/>
  <c r="N981" i="4"/>
  <c r="J981" i="4"/>
  <c r="M21" i="4"/>
  <c r="N21" i="4"/>
  <c r="I37" i="4"/>
  <c r="L67" i="4"/>
  <c r="K67" i="4"/>
  <c r="F195" i="4"/>
  <c r="K195" i="4"/>
  <c r="M365" i="4"/>
  <c r="N365" i="4"/>
  <c r="J485" i="4"/>
  <c r="N485" i="4"/>
  <c r="M485" i="4"/>
  <c r="J21" i="4"/>
  <c r="I35" i="4"/>
  <c r="M38" i="4"/>
  <c r="L52" i="4"/>
  <c r="M52" i="4"/>
  <c r="J52" i="4"/>
  <c r="L172" i="4"/>
  <c r="M172" i="4"/>
  <c r="L230" i="4"/>
  <c r="M230" i="4"/>
  <c r="N255" i="4"/>
  <c r="L259" i="4"/>
  <c r="M259" i="4"/>
  <c r="J259" i="4"/>
  <c r="I259" i="4"/>
  <c r="F272" i="4"/>
  <c r="K272" i="4"/>
  <c r="L307" i="4"/>
  <c r="M307" i="4"/>
  <c r="J307" i="4"/>
  <c r="I307" i="4"/>
  <c r="N335" i="4"/>
  <c r="M335" i="4"/>
  <c r="L353" i="4"/>
  <c r="I353" i="4"/>
  <c r="M353" i="4"/>
  <c r="J353" i="4"/>
  <c r="I391" i="4"/>
  <c r="N391" i="4"/>
  <c r="L401" i="4"/>
  <c r="I401" i="4"/>
  <c r="M401" i="4"/>
  <c r="J401" i="4"/>
  <c r="M8" i="4"/>
  <c r="J9" i="4"/>
  <c r="M17" i="4"/>
  <c r="J17" i="4"/>
  <c r="K33" i="4"/>
  <c r="L34" i="4"/>
  <c r="I34" i="4"/>
  <c r="K38" i="4"/>
  <c r="K40" i="4"/>
  <c r="L50" i="4"/>
  <c r="M50" i="4"/>
  <c r="L58" i="4"/>
  <c r="M58" i="4"/>
  <c r="J58" i="4"/>
  <c r="L148" i="4"/>
  <c r="M148" i="4"/>
  <c r="J148" i="4"/>
  <c r="I148" i="4"/>
  <c r="N285" i="4"/>
  <c r="M285" i="4"/>
  <c r="N383" i="4"/>
  <c r="J383" i="4"/>
  <c r="L479" i="4"/>
  <c r="M479" i="4"/>
  <c r="J479" i="4"/>
  <c r="I479" i="4"/>
  <c r="M503" i="4"/>
  <c r="N503" i="4"/>
  <c r="N555" i="4"/>
  <c r="J555" i="4"/>
  <c r="M60" i="4"/>
  <c r="M64" i="4"/>
  <c r="M78" i="4"/>
  <c r="K98" i="4"/>
  <c r="K102" i="4"/>
  <c r="K106" i="4"/>
  <c r="K110" i="4"/>
  <c r="K114" i="4"/>
  <c r="K118" i="4"/>
  <c r="K122" i="4"/>
  <c r="K126" i="4"/>
  <c r="K130" i="4"/>
  <c r="K134" i="4"/>
  <c r="K138" i="4"/>
  <c r="K140" i="4"/>
  <c r="K144" i="4"/>
  <c r="K180" i="4"/>
  <c r="M180" i="4"/>
  <c r="K184" i="4"/>
  <c r="M184" i="4"/>
  <c r="K190" i="4"/>
  <c r="M190" i="4"/>
  <c r="K198" i="4"/>
  <c r="K202" i="4"/>
  <c r="K204" i="4"/>
  <c r="K208" i="4"/>
  <c r="M247" i="4"/>
  <c r="K253" i="4"/>
  <c r="M253" i="4"/>
  <c r="N261" i="4"/>
  <c r="N273" i="4"/>
  <c r="N309" i="4"/>
  <c r="M319" i="4"/>
  <c r="J329" i="4"/>
  <c r="N329" i="4"/>
  <c r="L339" i="4"/>
  <c r="I339" i="4"/>
  <c r="L357" i="4"/>
  <c r="M357" i="4"/>
  <c r="L369" i="4"/>
  <c r="I369" i="4"/>
  <c r="L409" i="4"/>
  <c r="I409" i="4"/>
  <c r="L450" i="4"/>
  <c r="K450" i="4"/>
  <c r="L459" i="4"/>
  <c r="J459" i="4"/>
  <c r="I459" i="4"/>
  <c r="I471" i="4"/>
  <c r="N471" i="4"/>
  <c r="L511" i="4"/>
  <c r="J511" i="4"/>
  <c r="I511" i="4"/>
  <c r="N521" i="4"/>
  <c r="J521" i="4"/>
  <c r="I521" i="4"/>
  <c r="L537" i="4"/>
  <c r="J537" i="4"/>
  <c r="I537" i="4"/>
  <c r="N545" i="4"/>
  <c r="J545" i="4"/>
  <c r="L564" i="4"/>
  <c r="J564" i="4"/>
  <c r="N789" i="4"/>
  <c r="M789" i="4"/>
  <c r="I789" i="4"/>
  <c r="F796" i="4"/>
  <c r="K796" i="4"/>
  <c r="N815" i="4"/>
  <c r="M815" i="4"/>
  <c r="I815" i="4"/>
  <c r="N833" i="4"/>
  <c r="M833" i="4"/>
  <c r="J833" i="4"/>
  <c r="L865" i="4"/>
  <c r="M865" i="4"/>
  <c r="J865" i="4"/>
  <c r="N876" i="4"/>
  <c r="M876" i="4"/>
  <c r="I876" i="4"/>
  <c r="L882" i="4"/>
  <c r="M882" i="4"/>
  <c r="J882" i="4"/>
  <c r="I882" i="4"/>
  <c r="N887" i="4"/>
  <c r="M887" i="4"/>
  <c r="I887" i="4"/>
  <c r="N889" i="4"/>
  <c r="M889" i="4"/>
  <c r="F902" i="4"/>
  <c r="K902" i="4"/>
  <c r="K904" i="4"/>
  <c r="F904" i="4"/>
  <c r="M980" i="4"/>
  <c r="L980" i="4"/>
  <c r="I407" i="4"/>
  <c r="J409" i="4"/>
  <c r="L457" i="4"/>
  <c r="M457" i="4"/>
  <c r="J457" i="4"/>
  <c r="M459" i="4"/>
  <c r="F464" i="4"/>
  <c r="M511" i="4"/>
  <c r="I519" i="4"/>
  <c r="N519" i="4"/>
  <c r="N531" i="4"/>
  <c r="J531" i="4"/>
  <c r="M537" i="4"/>
  <c r="N543" i="4"/>
  <c r="I545" i="4"/>
  <c r="K552" i="4"/>
  <c r="F552" i="4"/>
  <c r="F627" i="4"/>
  <c r="K627" i="4"/>
  <c r="M731" i="4"/>
  <c r="I731" i="4"/>
  <c r="K59" i="4"/>
  <c r="L377" i="4"/>
  <c r="I377" i="4"/>
  <c r="K35" i="4"/>
  <c r="K44" i="4"/>
  <c r="K46" i="4"/>
  <c r="K50" i="4"/>
  <c r="L59" i="4"/>
  <c r="I60" i="4"/>
  <c r="K61" i="4"/>
  <c r="I64" i="4"/>
  <c r="J66" i="4"/>
  <c r="K69" i="4"/>
  <c r="I78" i="4"/>
  <c r="K85" i="4"/>
  <c r="J88" i="4"/>
  <c r="J92" i="4"/>
  <c r="M94" i="4"/>
  <c r="J96" i="4"/>
  <c r="M98" i="4"/>
  <c r="J100" i="4"/>
  <c r="M102" i="4"/>
  <c r="J104" i="4"/>
  <c r="M106" i="4"/>
  <c r="J108" i="4"/>
  <c r="M110" i="4"/>
  <c r="J112" i="4"/>
  <c r="M114" i="4"/>
  <c r="J116" i="4"/>
  <c r="M118" i="4"/>
  <c r="J120" i="4"/>
  <c r="M122" i="4"/>
  <c r="J124" i="4"/>
  <c r="M126" i="4"/>
  <c r="J128" i="4"/>
  <c r="M130" i="4"/>
  <c r="J132" i="4"/>
  <c r="M134" i="4"/>
  <c r="J136" i="4"/>
  <c r="J138" i="4"/>
  <c r="M140" i="4"/>
  <c r="J142" i="4"/>
  <c r="M144" i="4"/>
  <c r="K148" i="4"/>
  <c r="K152" i="4"/>
  <c r="M154" i="4"/>
  <c r="K158" i="4"/>
  <c r="K166" i="4"/>
  <c r="K170" i="4"/>
  <c r="K172" i="4"/>
  <c r="K176" i="4"/>
  <c r="K179" i="4"/>
  <c r="I180" i="4"/>
  <c r="I184" i="4"/>
  <c r="I190" i="4"/>
  <c r="J196" i="4"/>
  <c r="M198" i="4"/>
  <c r="J200" i="4"/>
  <c r="J202" i="4"/>
  <c r="M204" i="4"/>
  <c r="J206" i="4"/>
  <c r="M208" i="4"/>
  <c r="K212" i="4"/>
  <c r="K216" i="4"/>
  <c r="M218" i="4"/>
  <c r="K222" i="4"/>
  <c r="K230" i="4"/>
  <c r="K234" i="4"/>
  <c r="K235" i="4"/>
  <c r="K243" i="4"/>
  <c r="I247" i="4"/>
  <c r="I253" i="4"/>
  <c r="K259" i="4"/>
  <c r="J267" i="4"/>
  <c r="K280" i="4"/>
  <c r="J301" i="4"/>
  <c r="N317" i="4"/>
  <c r="I319" i="4"/>
  <c r="J323" i="4"/>
  <c r="L333" i="4"/>
  <c r="I333" i="4"/>
  <c r="M339" i="4"/>
  <c r="J347" i="4"/>
  <c r="N349" i="4"/>
  <c r="J357" i="4"/>
  <c r="N359" i="4"/>
  <c r="N361" i="4"/>
  <c r="M369" i="4"/>
  <c r="N373" i="4"/>
  <c r="I375" i="4"/>
  <c r="J377" i="4"/>
  <c r="L385" i="4"/>
  <c r="I385" i="4"/>
  <c r="J407" i="4"/>
  <c r="M409" i="4"/>
  <c r="N425" i="4"/>
  <c r="L425" i="4"/>
  <c r="J425" i="4"/>
  <c r="L439" i="4"/>
  <c r="N439" i="4"/>
  <c r="J439" i="4"/>
  <c r="K472" i="4"/>
  <c r="L473" i="4"/>
  <c r="J473" i="4"/>
  <c r="I473" i="4"/>
  <c r="K480" i="4"/>
  <c r="F480" i="4"/>
  <c r="K503" i="4"/>
  <c r="K528" i="4"/>
  <c r="F528" i="4"/>
  <c r="N659" i="4"/>
  <c r="K659" i="4"/>
  <c r="F679" i="4"/>
  <c r="K679" i="4"/>
  <c r="N709" i="4"/>
  <c r="J709" i="4"/>
  <c r="L747" i="4"/>
  <c r="J747" i="4"/>
  <c r="I747" i="4"/>
  <c r="M747" i="4"/>
  <c r="K458" i="4"/>
  <c r="L507" i="4"/>
  <c r="J507" i="4"/>
  <c r="N509" i="4"/>
  <c r="M509" i="4"/>
  <c r="L527" i="4"/>
  <c r="M527" i="4"/>
  <c r="J527" i="4"/>
  <c r="M533" i="4"/>
  <c r="J533" i="4"/>
  <c r="J553" i="4"/>
  <c r="N553" i="4"/>
  <c r="M604" i="4"/>
  <c r="I604" i="4"/>
  <c r="J624" i="4"/>
  <c r="I624" i="4"/>
  <c r="N632" i="4"/>
  <c r="J632" i="4"/>
  <c r="J640" i="4"/>
  <c r="I640" i="4"/>
  <c r="J648" i="4"/>
  <c r="I648" i="4"/>
  <c r="N684" i="4"/>
  <c r="I684" i="4"/>
  <c r="N689" i="4"/>
  <c r="M689" i="4"/>
  <c r="K814" i="4"/>
  <c r="L814" i="4"/>
  <c r="N855" i="4"/>
  <c r="J855" i="4"/>
  <c r="I417" i="4"/>
  <c r="J432" i="4"/>
  <c r="I433" i="4"/>
  <c r="J440" i="4"/>
  <c r="I441" i="4"/>
  <c r="I449" i="4"/>
  <c r="K456" i="4"/>
  <c r="I465" i="4"/>
  <c r="K482" i="4"/>
  <c r="N483" i="4"/>
  <c r="I507" i="4"/>
  <c r="K511" i="4"/>
  <c r="I527" i="4"/>
  <c r="N533" i="4"/>
  <c r="K537" i="4"/>
  <c r="K557" i="4"/>
  <c r="L569" i="4"/>
  <c r="J570" i="4"/>
  <c r="L571" i="4"/>
  <c r="J572" i="4"/>
  <c r="L602" i="4"/>
  <c r="M602" i="4"/>
  <c r="J602" i="4"/>
  <c r="N604" i="4"/>
  <c r="L610" i="4"/>
  <c r="M610" i="4"/>
  <c r="J610" i="4"/>
  <c r="N623" i="4"/>
  <c r="K623" i="4"/>
  <c r="N624" i="4"/>
  <c r="K631" i="4"/>
  <c r="I632" i="4"/>
  <c r="N639" i="4"/>
  <c r="K639" i="4"/>
  <c r="N640" i="4"/>
  <c r="N647" i="4"/>
  <c r="K647" i="4"/>
  <c r="N648" i="4"/>
  <c r="N660" i="4"/>
  <c r="I660" i="4"/>
  <c r="N683" i="4"/>
  <c r="K683" i="4"/>
  <c r="F687" i="4"/>
  <c r="L717" i="4"/>
  <c r="J717" i="4"/>
  <c r="I717" i="4"/>
  <c r="K500" i="4"/>
  <c r="K512" i="4"/>
  <c r="K513" i="4"/>
  <c r="K516" i="4"/>
  <c r="K534" i="4"/>
  <c r="K541" i="4"/>
  <c r="M541" i="4"/>
  <c r="K551" i="4"/>
  <c r="M551" i="4"/>
  <c r="K558" i="4"/>
  <c r="L757" i="4"/>
  <c r="M757" i="4"/>
  <c r="L763" i="4"/>
  <c r="J763" i="4"/>
  <c r="I763" i="4"/>
  <c r="M787" i="4"/>
  <c r="I787" i="4"/>
  <c r="N801" i="4"/>
  <c r="M801" i="4"/>
  <c r="I801" i="4"/>
  <c r="K888" i="4"/>
  <c r="F888" i="4"/>
  <c r="J914" i="4"/>
  <c r="L914" i="4"/>
  <c r="N926" i="4"/>
  <c r="L926" i="4"/>
  <c r="J938" i="4"/>
  <c r="N938" i="4"/>
  <c r="L938" i="4"/>
  <c r="I938" i="4"/>
  <c r="M951" i="4"/>
  <c r="N951" i="4"/>
  <c r="J951" i="4"/>
  <c r="N970" i="4"/>
  <c r="J970" i="4"/>
  <c r="I970" i="4"/>
  <c r="L983" i="4"/>
  <c r="N983" i="4"/>
  <c r="J983" i="4"/>
  <c r="I994" i="4"/>
  <c r="M994" i="4"/>
  <c r="L994" i="4"/>
  <c r="K518" i="4"/>
  <c r="K519" i="4"/>
  <c r="K524" i="4"/>
  <c r="K525" i="4"/>
  <c r="K527" i="4"/>
  <c r="K543" i="4"/>
  <c r="K548" i="4"/>
  <c r="I711" i="4"/>
  <c r="K718" i="4"/>
  <c r="I733" i="4"/>
  <c r="I743" i="4"/>
  <c r="I757" i="4"/>
  <c r="M763" i="4"/>
  <c r="J853" i="4"/>
  <c r="I853" i="4"/>
  <c r="N898" i="4"/>
  <c r="I898" i="4"/>
  <c r="N903" i="4"/>
  <c r="M903" i="4"/>
  <c r="I903" i="4"/>
  <c r="J773" i="4"/>
  <c r="J777" i="4"/>
  <c r="K781" i="4"/>
  <c r="J785" i="4"/>
  <c r="K786" i="4"/>
  <c r="J827" i="4"/>
  <c r="K831" i="4"/>
  <c r="M831" i="4"/>
  <c r="K836" i="4"/>
  <c r="K838" i="4"/>
  <c r="K841" i="4"/>
  <c r="M841" i="4"/>
  <c r="K847" i="4"/>
  <c r="K859" i="4"/>
  <c r="M859" i="4"/>
  <c r="K863" i="4"/>
  <c r="M863" i="4"/>
  <c r="M869" i="4"/>
  <c r="K884" i="4"/>
  <c r="J892" i="4"/>
  <c r="K894" i="4"/>
  <c r="K897" i="4"/>
  <c r="K900" i="4"/>
  <c r="K962" i="4"/>
  <c r="N975" i="4"/>
  <c r="M978" i="4"/>
  <c r="N989" i="4"/>
  <c r="K1001" i="4"/>
  <c r="M773" i="4"/>
  <c r="K785" i="4"/>
  <c r="K804" i="4"/>
  <c r="K824" i="4"/>
  <c r="K825" i="4"/>
  <c r="K827" i="4"/>
  <c r="M827" i="4"/>
  <c r="K850" i="4"/>
  <c r="K861" i="4"/>
  <c r="K869" i="4"/>
  <c r="N884" i="4"/>
  <c r="K887" i="4"/>
  <c r="K889" i="4"/>
  <c r="K892" i="4"/>
  <c r="N900" i="4"/>
  <c r="K903" i="4"/>
  <c r="L934" i="4"/>
  <c r="K1003" i="4"/>
  <c r="N785" i="4"/>
  <c r="K789" i="4"/>
  <c r="K822" i="4"/>
  <c r="K833" i="4"/>
  <c r="K842" i="4"/>
  <c r="K855" i="4"/>
  <c r="K860" i="4"/>
  <c r="K865" i="4"/>
  <c r="K868" i="4"/>
  <c r="K870" i="4"/>
  <c r="K882" i="4"/>
  <c r="N892" i="4"/>
  <c r="L36" i="4"/>
  <c r="M36" i="4"/>
  <c r="J36" i="4"/>
  <c r="I36" i="4"/>
  <c r="L43" i="4"/>
  <c r="I43" i="4"/>
  <c r="L68" i="4"/>
  <c r="M68" i="4"/>
  <c r="J68" i="4"/>
  <c r="I68" i="4"/>
  <c r="L241" i="4"/>
  <c r="I241" i="4"/>
  <c r="N241" i="4"/>
  <c r="M241" i="4"/>
  <c r="J241" i="4"/>
  <c r="L305" i="4"/>
  <c r="J305" i="4"/>
  <c r="N305" i="4"/>
  <c r="M305" i="4"/>
  <c r="I305" i="4"/>
  <c r="L363" i="4"/>
  <c r="I363" i="4"/>
  <c r="N363" i="4"/>
  <c r="J363" i="4"/>
  <c r="M363" i="4"/>
  <c r="L367" i="4"/>
  <c r="M367" i="4"/>
  <c r="N367" i="4"/>
  <c r="I367" i="4"/>
  <c r="J367" i="4"/>
  <c r="L381" i="4"/>
  <c r="J381" i="4"/>
  <c r="N381" i="4"/>
  <c r="I381" i="4"/>
  <c r="M381" i="4"/>
  <c r="L399" i="4"/>
  <c r="M399" i="4"/>
  <c r="N399" i="4"/>
  <c r="I399" i="4"/>
  <c r="J399" i="4"/>
  <c r="L431" i="4"/>
  <c r="N431" i="4"/>
  <c r="I431" i="4"/>
  <c r="J431" i="4"/>
  <c r="L469" i="4"/>
  <c r="I469" i="4"/>
  <c r="N469" i="4"/>
  <c r="J469" i="4"/>
  <c r="M469" i="4"/>
  <c r="J573" i="4"/>
  <c r="L573" i="4"/>
  <c r="L18" i="4"/>
  <c r="M18" i="4"/>
  <c r="I18" i="4"/>
  <c r="N36" i="4"/>
  <c r="L146" i="4"/>
  <c r="M146" i="4"/>
  <c r="J146" i="4"/>
  <c r="I146" i="4"/>
  <c r="L210" i="4"/>
  <c r="M210" i="4"/>
  <c r="J210" i="4"/>
  <c r="I210" i="4"/>
  <c r="L226" i="4"/>
  <c r="M226" i="4"/>
  <c r="J226" i="4"/>
  <c r="I226" i="4"/>
  <c r="L240" i="4"/>
  <c r="K240" i="4"/>
  <c r="L251" i="4"/>
  <c r="M251" i="4"/>
  <c r="N251" i="4"/>
  <c r="J251" i="4"/>
  <c r="I251" i="4"/>
  <c r="L327" i="4"/>
  <c r="M327" i="4"/>
  <c r="N327" i="4"/>
  <c r="J327" i="4"/>
  <c r="I327" i="4"/>
  <c r="L343" i="4"/>
  <c r="M343" i="4"/>
  <c r="N343" i="4"/>
  <c r="J343" i="4"/>
  <c r="I343" i="4"/>
  <c r="L434" i="4"/>
  <c r="J434" i="4"/>
  <c r="L444" i="4"/>
  <c r="J444" i="4"/>
  <c r="L487" i="4"/>
  <c r="M487" i="4"/>
  <c r="N487" i="4"/>
  <c r="I487" i="4"/>
  <c r="J487" i="4"/>
  <c r="L535" i="4"/>
  <c r="M535" i="4"/>
  <c r="N535" i="4"/>
  <c r="I535" i="4"/>
  <c r="J535" i="4"/>
  <c r="L30" i="4"/>
  <c r="M30" i="4"/>
  <c r="I30" i="4"/>
  <c r="N145" i="4"/>
  <c r="K145" i="4"/>
  <c r="N146" i="4"/>
  <c r="N161" i="4"/>
  <c r="K161" i="4"/>
  <c r="N177" i="4"/>
  <c r="K177" i="4"/>
  <c r="N193" i="4"/>
  <c r="K193" i="4"/>
  <c r="N209" i="4"/>
  <c r="K209" i="4"/>
  <c r="N210" i="4"/>
  <c r="N225" i="4"/>
  <c r="K225" i="4"/>
  <c r="N226" i="4"/>
  <c r="L295" i="4"/>
  <c r="I295" i="4"/>
  <c r="N295" i="4"/>
  <c r="J295" i="4"/>
  <c r="M295" i="4"/>
  <c r="L695" i="4"/>
  <c r="I695" i="4"/>
  <c r="M695" i="4"/>
  <c r="N695" i="4"/>
  <c r="J695" i="4"/>
  <c r="L22" i="4"/>
  <c r="M22" i="4"/>
  <c r="I22" i="4"/>
  <c r="L75" i="4"/>
  <c r="K75" i="4"/>
  <c r="L271" i="4"/>
  <c r="M271" i="4"/>
  <c r="N271" i="4"/>
  <c r="I271" i="4"/>
  <c r="J271" i="4"/>
  <c r="L288" i="4"/>
  <c r="K288" i="4"/>
  <c r="L413" i="4"/>
  <c r="J413" i="4"/>
  <c r="N413" i="4"/>
  <c r="M413" i="4"/>
  <c r="I413" i="4"/>
  <c r="J445" i="4"/>
  <c r="N445" i="4"/>
  <c r="I445" i="4"/>
  <c r="L445" i="4"/>
  <c r="L523" i="4"/>
  <c r="I523" i="4"/>
  <c r="N523" i="4"/>
  <c r="J523" i="4"/>
  <c r="M523" i="4"/>
  <c r="L547" i="4"/>
  <c r="I547" i="4"/>
  <c r="N547" i="4"/>
  <c r="J547" i="4"/>
  <c r="M547" i="4"/>
  <c r="N621" i="4"/>
  <c r="K621" i="4"/>
  <c r="N667" i="4"/>
  <c r="K667" i="4"/>
  <c r="L674" i="4"/>
  <c r="M674" i="4"/>
  <c r="I674" i="4"/>
  <c r="J674" i="4"/>
  <c r="N674" i="4"/>
  <c r="L41" i="4"/>
  <c r="K41" i="4"/>
  <c r="N68" i="4"/>
  <c r="L162" i="4"/>
  <c r="M162" i="4"/>
  <c r="J162" i="4"/>
  <c r="I162" i="4"/>
  <c r="L178" i="4"/>
  <c r="M178" i="4"/>
  <c r="J178" i="4"/>
  <c r="I178" i="4"/>
  <c r="L194" i="4"/>
  <c r="M194" i="4"/>
  <c r="J194" i="4"/>
  <c r="I194" i="4"/>
  <c r="L275" i="4"/>
  <c r="I275" i="4"/>
  <c r="N275" i="4"/>
  <c r="M275" i="4"/>
  <c r="J275" i="4"/>
  <c r="L299" i="4"/>
  <c r="J299" i="4"/>
  <c r="N299" i="4"/>
  <c r="I299" i="4"/>
  <c r="M299" i="4"/>
  <c r="L321" i="4"/>
  <c r="J321" i="4"/>
  <c r="N321" i="4"/>
  <c r="I321" i="4"/>
  <c r="M321" i="4"/>
  <c r="L430" i="4"/>
  <c r="J430" i="4"/>
  <c r="L505" i="4"/>
  <c r="J505" i="4"/>
  <c r="N505" i="4"/>
  <c r="I505" i="4"/>
  <c r="M505" i="4"/>
  <c r="J563" i="4"/>
  <c r="L563" i="4"/>
  <c r="L636" i="4"/>
  <c r="M636" i="4"/>
  <c r="J636" i="4"/>
  <c r="I636" i="4"/>
  <c r="N636" i="4"/>
  <c r="L662" i="4"/>
  <c r="M662" i="4"/>
  <c r="N662" i="4"/>
  <c r="I662" i="4"/>
  <c r="J662" i="4"/>
  <c r="L14" i="4"/>
  <c r="M14" i="4"/>
  <c r="I14" i="4"/>
  <c r="N162" i="4"/>
  <c r="N178" i="4"/>
  <c r="L315" i="4"/>
  <c r="I315" i="4"/>
  <c r="N315" i="4"/>
  <c r="M315" i="4"/>
  <c r="J315" i="4"/>
  <c r="L395" i="4"/>
  <c r="I395" i="4"/>
  <c r="N395" i="4"/>
  <c r="J395" i="4"/>
  <c r="M395" i="4"/>
  <c r="I427" i="4"/>
  <c r="N427" i="4"/>
  <c r="L427" i="4"/>
  <c r="J427" i="4"/>
  <c r="L562" i="4"/>
  <c r="J562" i="4"/>
  <c r="J583" i="4"/>
  <c r="L583" i="4"/>
  <c r="L606" i="4"/>
  <c r="M606" i="4"/>
  <c r="J606" i="4"/>
  <c r="I606" i="4"/>
  <c r="N606" i="4"/>
  <c r="N635" i="4"/>
  <c r="K635" i="4"/>
  <c r="L642" i="4"/>
  <c r="M642" i="4"/>
  <c r="I642" i="4"/>
  <c r="J642" i="4"/>
  <c r="N642" i="4"/>
  <c r="N653" i="4"/>
  <c r="K653" i="4"/>
  <c r="N685" i="4"/>
  <c r="K685" i="4"/>
  <c r="K710" i="4"/>
  <c r="L710" i="4"/>
  <c r="L6" i="4"/>
  <c r="M6" i="4"/>
  <c r="M7" i="4"/>
  <c r="N7" i="4"/>
  <c r="J7" i="4"/>
  <c r="L10" i="4"/>
  <c r="M10" i="4"/>
  <c r="I10" i="4"/>
  <c r="L26" i="4"/>
  <c r="M26" i="4"/>
  <c r="I26" i="4"/>
  <c r="L54" i="4"/>
  <c r="M54" i="4"/>
  <c r="J54" i="4"/>
  <c r="I54" i="4"/>
  <c r="L72" i="4"/>
  <c r="M72" i="4"/>
  <c r="J72" i="4"/>
  <c r="I72" i="4"/>
  <c r="L74" i="4"/>
  <c r="M74" i="4"/>
  <c r="J74" i="4"/>
  <c r="I74" i="4"/>
  <c r="L86" i="4"/>
  <c r="M86" i="4"/>
  <c r="J86" i="4"/>
  <c r="I86" i="4"/>
  <c r="L279" i="4"/>
  <c r="M279" i="4"/>
  <c r="N279" i="4"/>
  <c r="I279" i="4"/>
  <c r="J279" i="4"/>
  <c r="L289" i="4"/>
  <c r="I289" i="4"/>
  <c r="N289" i="4"/>
  <c r="J289" i="4"/>
  <c r="M289" i="4"/>
  <c r="L451" i="4"/>
  <c r="M451" i="4"/>
  <c r="N451" i="4"/>
  <c r="J451" i="4"/>
  <c r="I451" i="4"/>
  <c r="L475" i="4"/>
  <c r="I475" i="4"/>
  <c r="N475" i="4"/>
  <c r="J475" i="4"/>
  <c r="M475" i="4"/>
  <c r="L499" i="4"/>
  <c r="I499" i="4"/>
  <c r="N499" i="4"/>
  <c r="J499" i="4"/>
  <c r="M499" i="4"/>
  <c r="L582" i="4"/>
  <c r="J582" i="4"/>
  <c r="L596" i="4"/>
  <c r="M596" i="4"/>
  <c r="N596" i="4"/>
  <c r="I596" i="4"/>
  <c r="J596" i="4"/>
  <c r="L630" i="4"/>
  <c r="M630" i="4"/>
  <c r="N630" i="4"/>
  <c r="I630" i="4"/>
  <c r="J630" i="4"/>
  <c r="L668" i="4"/>
  <c r="M668" i="4"/>
  <c r="J668" i="4"/>
  <c r="I668" i="4"/>
  <c r="N668" i="4"/>
  <c r="L723" i="4"/>
  <c r="M723" i="4"/>
  <c r="I723" i="4"/>
  <c r="N723" i="4"/>
  <c r="J723" i="4"/>
  <c r="L745" i="4"/>
  <c r="J745" i="4"/>
  <c r="N745" i="4"/>
  <c r="M745" i="4"/>
  <c r="L749" i="4"/>
  <c r="J749" i="4"/>
  <c r="I749" i="4"/>
  <c r="N749" i="4"/>
  <c r="M749" i="4"/>
  <c r="L765" i="4"/>
  <c r="J765" i="4"/>
  <c r="I765" i="4"/>
  <c r="N765" i="4"/>
  <c r="L767" i="4"/>
  <c r="M767" i="4"/>
  <c r="N767" i="4"/>
  <c r="J767" i="4"/>
  <c r="I767" i="4"/>
  <c r="L771" i="4"/>
  <c r="M771" i="4"/>
  <c r="I771" i="4"/>
  <c r="N771" i="4"/>
  <c r="J771" i="4"/>
  <c r="L809" i="4"/>
  <c r="M809" i="4"/>
  <c r="J809" i="4"/>
  <c r="N809" i="4"/>
  <c r="I809" i="4"/>
  <c r="L819" i="4"/>
  <c r="I819" i="4"/>
  <c r="J819" i="4"/>
  <c r="N819" i="4"/>
  <c r="M819" i="4"/>
  <c r="L829" i="4"/>
  <c r="J829" i="4"/>
  <c r="N829" i="4"/>
  <c r="M829" i="4"/>
  <c r="L843" i="4"/>
  <c r="J843" i="4"/>
  <c r="M843" i="4"/>
  <c r="N843" i="4"/>
  <c r="I843" i="4"/>
  <c r="L851" i="4"/>
  <c r="I851" i="4"/>
  <c r="J851" i="4"/>
  <c r="N851" i="4"/>
  <c r="N891" i="4"/>
  <c r="M891" i="4"/>
  <c r="I891" i="4"/>
  <c r="N893" i="4"/>
  <c r="M893" i="4"/>
  <c r="I893" i="4"/>
  <c r="J942" i="4"/>
  <c r="L942" i="4"/>
  <c r="I942" i="4"/>
  <c r="J948" i="4"/>
  <c r="N948" i="4"/>
  <c r="L948" i="4"/>
  <c r="M953" i="4"/>
  <c r="N953" i="4"/>
  <c r="L954" i="4"/>
  <c r="M954" i="4"/>
  <c r="I954" i="4"/>
  <c r="L958" i="4"/>
  <c r="M958" i="4"/>
  <c r="M959" i="4"/>
  <c r="K959" i="4"/>
  <c r="J959" i="4"/>
  <c r="K972" i="4"/>
  <c r="J972" i="4"/>
  <c r="I972" i="4"/>
  <c r="N972" i="4"/>
  <c r="L993" i="4"/>
  <c r="N993" i="4"/>
  <c r="J993" i="4"/>
  <c r="L995" i="4"/>
  <c r="N995" i="4"/>
  <c r="M996" i="4"/>
  <c r="L996" i="4"/>
  <c r="I996" i="4"/>
  <c r="N42" i="4"/>
  <c r="N76" i="4"/>
  <c r="N80" i="4"/>
  <c r="N94" i="4"/>
  <c r="N98" i="4"/>
  <c r="N102" i="4"/>
  <c r="N110" i="4"/>
  <c r="N118" i="4"/>
  <c r="N122" i="4"/>
  <c r="N130" i="4"/>
  <c r="N144" i="4"/>
  <c r="N150" i="4"/>
  <c r="N156" i="4"/>
  <c r="N160" i="4"/>
  <c r="N176" i="4"/>
  <c r="N182" i="4"/>
  <c r="N198" i="4"/>
  <c r="N214" i="4"/>
  <c r="N220" i="4"/>
  <c r="N224" i="4"/>
  <c r="N230" i="4"/>
  <c r="L239" i="4"/>
  <c r="J239" i="4"/>
  <c r="L249" i="4"/>
  <c r="M249" i="4"/>
  <c r="L263" i="4"/>
  <c r="J263" i="4"/>
  <c r="L311" i="4"/>
  <c r="J311" i="4"/>
  <c r="L351" i="4"/>
  <c r="J351" i="4"/>
  <c r="L405" i="4"/>
  <c r="J405" i="4"/>
  <c r="K233" i="4"/>
  <c r="I239" i="4"/>
  <c r="L243" i="4"/>
  <c r="I243" i="4"/>
  <c r="I249" i="4"/>
  <c r="L258" i="4"/>
  <c r="I263" i="4"/>
  <c r="L269" i="4"/>
  <c r="J269" i="4"/>
  <c r="L285" i="4"/>
  <c r="J285" i="4"/>
  <c r="L297" i="4"/>
  <c r="I297" i="4"/>
  <c r="L303" i="4"/>
  <c r="I303" i="4"/>
  <c r="I311" i="4"/>
  <c r="L325" i="4"/>
  <c r="J325" i="4"/>
  <c r="L331" i="4"/>
  <c r="M331" i="4"/>
  <c r="L335" i="4"/>
  <c r="I335" i="4"/>
  <c r="L341" i="4"/>
  <c r="J341" i="4"/>
  <c r="L347" i="4"/>
  <c r="M347" i="4"/>
  <c r="I351" i="4"/>
  <c r="L359" i="4"/>
  <c r="I359" i="4"/>
  <c r="L365" i="4"/>
  <c r="J365" i="4"/>
  <c r="L379" i="4"/>
  <c r="I379" i="4"/>
  <c r="L383" i="4"/>
  <c r="M383" i="4"/>
  <c r="L397" i="4"/>
  <c r="J397" i="4"/>
  <c r="I405" i="4"/>
  <c r="L411" i="4"/>
  <c r="I411" i="4"/>
  <c r="L415" i="4"/>
  <c r="M415" i="4"/>
  <c r="J419" i="4"/>
  <c r="J422" i="4"/>
  <c r="I423" i="4"/>
  <c r="J436" i="4"/>
  <c r="I437" i="4"/>
  <c r="L455" i="4"/>
  <c r="M455" i="4"/>
  <c r="L483" i="4"/>
  <c r="M483" i="4"/>
  <c r="L503" i="4"/>
  <c r="I503" i="4"/>
  <c r="L509" i="4"/>
  <c r="J509" i="4"/>
  <c r="L515" i="4"/>
  <c r="M515" i="4"/>
  <c r="L525" i="4"/>
  <c r="J525" i="4"/>
  <c r="L531" i="4"/>
  <c r="M531" i="4"/>
  <c r="K550" i="4"/>
  <c r="L555" i="4"/>
  <c r="M555" i="4"/>
  <c r="J565" i="4"/>
  <c r="J574" i="4"/>
  <c r="L575" i="4"/>
  <c r="L585" i="4"/>
  <c r="K601" i="4"/>
  <c r="L601" i="4"/>
  <c r="L614" i="4"/>
  <c r="M614" i="4"/>
  <c r="N614" i="4"/>
  <c r="I614" i="4"/>
  <c r="L620" i="4"/>
  <c r="M620" i="4"/>
  <c r="J620" i="4"/>
  <c r="L626" i="4"/>
  <c r="M626" i="4"/>
  <c r="I626" i="4"/>
  <c r="J626" i="4"/>
  <c r="N637" i="4"/>
  <c r="K637" i="4"/>
  <c r="K643" i="4"/>
  <c r="L646" i="4"/>
  <c r="M646" i="4"/>
  <c r="N646" i="4"/>
  <c r="I646" i="4"/>
  <c r="L652" i="4"/>
  <c r="M652" i="4"/>
  <c r="J652" i="4"/>
  <c r="L658" i="4"/>
  <c r="M658" i="4"/>
  <c r="I658" i="4"/>
  <c r="J658" i="4"/>
  <c r="N669" i="4"/>
  <c r="K669" i="4"/>
  <c r="K675" i="4"/>
  <c r="L678" i="4"/>
  <c r="M678" i="4"/>
  <c r="N678" i="4"/>
  <c r="I678" i="4"/>
  <c r="L693" i="4"/>
  <c r="M693" i="4"/>
  <c r="N693" i="4"/>
  <c r="J693" i="4"/>
  <c r="I693" i="4"/>
  <c r="K698" i="4"/>
  <c r="L703" i="4"/>
  <c r="J703" i="4"/>
  <c r="N703" i="4"/>
  <c r="M703" i="4"/>
  <c r="L705" i="4"/>
  <c r="M705" i="4"/>
  <c r="I705" i="4"/>
  <c r="N705" i="4"/>
  <c r="J705" i="4"/>
  <c r="L721" i="4"/>
  <c r="I721" i="4"/>
  <c r="M721" i="4"/>
  <c r="N721" i="4"/>
  <c r="J721" i="4"/>
  <c r="L769" i="4"/>
  <c r="I769" i="4"/>
  <c r="M769" i="4"/>
  <c r="N769" i="4"/>
  <c r="J769" i="4"/>
  <c r="L788" i="4"/>
  <c r="I788" i="4"/>
  <c r="L793" i="4"/>
  <c r="M793" i="4"/>
  <c r="N793" i="4"/>
  <c r="J793" i="4"/>
  <c r="L811" i="4"/>
  <c r="I811" i="4"/>
  <c r="J811" i="4"/>
  <c r="N811" i="4"/>
  <c r="M811" i="4"/>
  <c r="L817" i="4"/>
  <c r="M817" i="4"/>
  <c r="J817" i="4"/>
  <c r="N817" i="4"/>
  <c r="I817" i="4"/>
  <c r="L872" i="4"/>
  <c r="J872" i="4"/>
  <c r="I872" i="4"/>
  <c r="N872" i="4"/>
  <c r="N930" i="4"/>
  <c r="L930" i="4"/>
  <c r="J940" i="4"/>
  <c r="N940" i="4"/>
  <c r="L940" i="4"/>
  <c r="I940" i="4"/>
  <c r="L987" i="4"/>
  <c r="N987" i="4"/>
  <c r="J987" i="4"/>
  <c r="L991" i="4"/>
  <c r="N991" i="4"/>
  <c r="J991" i="4"/>
  <c r="N40" i="4"/>
  <c r="N44" i="4"/>
  <c r="N46" i="4"/>
  <c r="M48" i="4"/>
  <c r="N50" i="4"/>
  <c r="N62" i="4"/>
  <c r="N82" i="4"/>
  <c r="N106" i="4"/>
  <c r="N114" i="4"/>
  <c r="N126" i="4"/>
  <c r="N134" i="4"/>
  <c r="N140" i="4"/>
  <c r="N166" i="4"/>
  <c r="N172" i="4"/>
  <c r="N188" i="4"/>
  <c r="N192" i="4"/>
  <c r="N204" i="4"/>
  <c r="N208" i="4"/>
  <c r="L277" i="4"/>
  <c r="M277" i="4"/>
  <c r="L287" i="4"/>
  <c r="J287" i="4"/>
  <c r="L291" i="4"/>
  <c r="M291" i="4"/>
  <c r="L317" i="4"/>
  <c r="M317" i="4"/>
  <c r="L329" i="4"/>
  <c r="I329" i="4"/>
  <c r="L345" i="4"/>
  <c r="I345" i="4"/>
  <c r="L373" i="4"/>
  <c r="J373" i="4"/>
  <c r="L387" i="4"/>
  <c r="I387" i="4"/>
  <c r="L391" i="4"/>
  <c r="M391" i="4"/>
  <c r="L426" i="4"/>
  <c r="J426" i="4"/>
  <c r="L453" i="4"/>
  <c r="I453" i="4"/>
  <c r="L471" i="4"/>
  <c r="M471" i="4"/>
  <c r="L477" i="4"/>
  <c r="M477" i="4"/>
  <c r="L495" i="4"/>
  <c r="J495" i="4"/>
  <c r="L501" i="4"/>
  <c r="M501" i="4"/>
  <c r="L513" i="4"/>
  <c r="I513" i="4"/>
  <c r="L519" i="4"/>
  <c r="J519" i="4"/>
  <c r="L529" i="4"/>
  <c r="I529" i="4"/>
  <c r="L543" i="4"/>
  <c r="J543" i="4"/>
  <c r="L549" i="4"/>
  <c r="M549" i="4"/>
  <c r="L553" i="4"/>
  <c r="I553" i="4"/>
  <c r="L559" i="4"/>
  <c r="J559" i="4"/>
  <c r="L618" i="4"/>
  <c r="M618" i="4"/>
  <c r="I618" i="4"/>
  <c r="J618" i="4"/>
  <c r="N629" i="4"/>
  <c r="K629" i="4"/>
  <c r="L638" i="4"/>
  <c r="M638" i="4"/>
  <c r="N638" i="4"/>
  <c r="I638" i="4"/>
  <c r="L644" i="4"/>
  <c r="M644" i="4"/>
  <c r="J644" i="4"/>
  <c r="L650" i="4"/>
  <c r="M650" i="4"/>
  <c r="I650" i="4"/>
  <c r="J650" i="4"/>
  <c r="N661" i="4"/>
  <c r="K661" i="4"/>
  <c r="L670" i="4"/>
  <c r="M670" i="4"/>
  <c r="N670" i="4"/>
  <c r="I670" i="4"/>
  <c r="L676" i="4"/>
  <c r="M676" i="4"/>
  <c r="J676" i="4"/>
  <c r="L682" i="4"/>
  <c r="M682" i="4"/>
  <c r="I682" i="4"/>
  <c r="J682" i="4"/>
  <c r="L699" i="4"/>
  <c r="J699" i="4"/>
  <c r="I699" i="4"/>
  <c r="N699" i="4"/>
  <c r="L727" i="4"/>
  <c r="M727" i="4"/>
  <c r="N727" i="4"/>
  <c r="J727" i="4"/>
  <c r="I727" i="4"/>
  <c r="L735" i="4"/>
  <c r="I735" i="4"/>
  <c r="J735" i="4"/>
  <c r="N735" i="4"/>
  <c r="M735" i="4"/>
  <c r="I745" i="4"/>
  <c r="M765" i="4"/>
  <c r="L775" i="4"/>
  <c r="I775" i="4"/>
  <c r="J775" i="4"/>
  <c r="N775" i="4"/>
  <c r="L783" i="4"/>
  <c r="N783" i="4"/>
  <c r="I783" i="4"/>
  <c r="K783" i="4"/>
  <c r="M783" i="4"/>
  <c r="J783" i="4"/>
  <c r="L795" i="4"/>
  <c r="I795" i="4"/>
  <c r="M795" i="4"/>
  <c r="N795" i="4"/>
  <c r="I829" i="4"/>
  <c r="L849" i="4"/>
  <c r="M849" i="4"/>
  <c r="J849" i="4"/>
  <c r="N849" i="4"/>
  <c r="M851" i="4"/>
  <c r="L874" i="4"/>
  <c r="M874" i="4"/>
  <c r="J874" i="4"/>
  <c r="N874" i="4"/>
  <c r="I874" i="4"/>
  <c r="N942" i="4"/>
  <c r="I948" i="4"/>
  <c r="L952" i="4"/>
  <c r="J953" i="4"/>
  <c r="I958" i="4"/>
  <c r="N959" i="4"/>
  <c r="M961" i="4"/>
  <c r="N961" i="4"/>
  <c r="K961" i="4"/>
  <c r="J961" i="4"/>
  <c r="L985" i="4"/>
  <c r="N985" i="4"/>
  <c r="J985" i="4"/>
  <c r="J995" i="4"/>
  <c r="J11" i="4"/>
  <c r="J15" i="4"/>
  <c r="J19" i="4"/>
  <c r="J23" i="4"/>
  <c r="J27" i="4"/>
  <c r="J31" i="4"/>
  <c r="I40" i="4"/>
  <c r="I42" i="4"/>
  <c r="I44" i="4"/>
  <c r="I45" i="4"/>
  <c r="I46" i="4"/>
  <c r="I48" i="4"/>
  <c r="N48" i="4"/>
  <c r="I50" i="4"/>
  <c r="K51" i="4"/>
  <c r="N52" i="4"/>
  <c r="N56" i="4"/>
  <c r="N58" i="4"/>
  <c r="I62" i="4"/>
  <c r="N70" i="4"/>
  <c r="I76" i="4"/>
  <c r="I80" i="4"/>
  <c r="I82" i="4"/>
  <c r="K83" i="4"/>
  <c r="N84" i="4"/>
  <c r="N88" i="4"/>
  <c r="N90" i="4"/>
  <c r="I94" i="4"/>
  <c r="I98" i="4"/>
  <c r="I102" i="4"/>
  <c r="I106" i="4"/>
  <c r="I110" i="4"/>
  <c r="I114" i="4"/>
  <c r="I118" i="4"/>
  <c r="I122" i="4"/>
  <c r="I126" i="4"/>
  <c r="I130" i="4"/>
  <c r="I134" i="4"/>
  <c r="N138" i="4"/>
  <c r="K139" i="4"/>
  <c r="I140" i="4"/>
  <c r="I144" i="4"/>
  <c r="I150" i="4"/>
  <c r="N154" i="4"/>
  <c r="K155" i="4"/>
  <c r="I156" i="4"/>
  <c r="I160" i="4"/>
  <c r="I166" i="4"/>
  <c r="N170" i="4"/>
  <c r="K171" i="4"/>
  <c r="I172" i="4"/>
  <c r="I176" i="4"/>
  <c r="I182" i="4"/>
  <c r="N186" i="4"/>
  <c r="K187" i="4"/>
  <c r="I188" i="4"/>
  <c r="I192" i="4"/>
  <c r="I198" i="4"/>
  <c r="N202" i="4"/>
  <c r="K203" i="4"/>
  <c r="I204" i="4"/>
  <c r="I208" i="4"/>
  <c r="I214" i="4"/>
  <c r="N218" i="4"/>
  <c r="K219" i="4"/>
  <c r="I220" i="4"/>
  <c r="I224" i="4"/>
  <c r="I230" i="4"/>
  <c r="I8" i="4"/>
  <c r="N11" i="4"/>
  <c r="I12" i="4"/>
  <c r="N15" i="4"/>
  <c r="I16" i="4"/>
  <c r="N19" i="4"/>
  <c r="I20" i="4"/>
  <c r="N23" i="4"/>
  <c r="I24" i="4"/>
  <c r="N27" i="4"/>
  <c r="I28" i="4"/>
  <c r="N31" i="4"/>
  <c r="I32" i="4"/>
  <c r="N34" i="4"/>
  <c r="K36" i="4"/>
  <c r="N38" i="4"/>
  <c r="J40" i="4"/>
  <c r="J42" i="4"/>
  <c r="J44" i="4"/>
  <c r="J46" i="4"/>
  <c r="J48" i="4"/>
  <c r="J50" i="4"/>
  <c r="I52" i="4"/>
  <c r="I56" i="4"/>
  <c r="I58" i="4"/>
  <c r="N60" i="4"/>
  <c r="J62" i="4"/>
  <c r="N64" i="4"/>
  <c r="N66" i="4"/>
  <c r="I70" i="4"/>
  <c r="J76" i="4"/>
  <c r="K77" i="4"/>
  <c r="N78" i="4"/>
  <c r="J80" i="4"/>
  <c r="J82" i="4"/>
  <c r="I84" i="4"/>
  <c r="I88" i="4"/>
  <c r="I90" i="4"/>
  <c r="N92" i="4"/>
  <c r="J94" i="4"/>
  <c r="K95" i="4"/>
  <c r="N96" i="4"/>
  <c r="J98" i="4"/>
  <c r="K99" i="4"/>
  <c r="N100" i="4"/>
  <c r="J102" i="4"/>
  <c r="K103" i="4"/>
  <c r="N104" i="4"/>
  <c r="J106" i="4"/>
  <c r="K107" i="4"/>
  <c r="N108" i="4"/>
  <c r="J110" i="4"/>
  <c r="K111" i="4"/>
  <c r="N112" i="4"/>
  <c r="J114" i="4"/>
  <c r="K115" i="4"/>
  <c r="N116" i="4"/>
  <c r="J118" i="4"/>
  <c r="K119" i="4"/>
  <c r="N120" i="4"/>
  <c r="J122" i="4"/>
  <c r="K123" i="4"/>
  <c r="N124" i="4"/>
  <c r="J126" i="4"/>
  <c r="K127" i="4"/>
  <c r="N128" i="4"/>
  <c r="J130" i="4"/>
  <c r="K131" i="4"/>
  <c r="N132" i="4"/>
  <c r="J134" i="4"/>
  <c r="N136" i="4"/>
  <c r="K137" i="4"/>
  <c r="I138" i="4"/>
  <c r="J140" i="4"/>
  <c r="N142" i="4"/>
  <c r="J144" i="4"/>
  <c r="K146" i="4"/>
  <c r="N148" i="4"/>
  <c r="J150" i="4"/>
  <c r="N152" i="4"/>
  <c r="K153" i="4"/>
  <c r="I154" i="4"/>
  <c r="J156" i="4"/>
  <c r="N158" i="4"/>
  <c r="J160" i="4"/>
  <c r="K162" i="4"/>
  <c r="N164" i="4"/>
  <c r="J166" i="4"/>
  <c r="N168" i="4"/>
  <c r="K169" i="4"/>
  <c r="I170" i="4"/>
  <c r="J172" i="4"/>
  <c r="N174" i="4"/>
  <c r="J176" i="4"/>
  <c r="K178" i="4"/>
  <c r="N180" i="4"/>
  <c r="J182" i="4"/>
  <c r="N184" i="4"/>
  <c r="K185" i="4"/>
  <c r="I186" i="4"/>
  <c r="J188" i="4"/>
  <c r="N190" i="4"/>
  <c r="J192" i="4"/>
  <c r="K194" i="4"/>
  <c r="N196" i="4"/>
  <c r="J198" i="4"/>
  <c r="N200" i="4"/>
  <c r="K201" i="4"/>
  <c r="I202" i="4"/>
  <c r="J204" i="4"/>
  <c r="N206" i="4"/>
  <c r="J208" i="4"/>
  <c r="K210" i="4"/>
  <c r="N212" i="4"/>
  <c r="J214" i="4"/>
  <c r="N216" i="4"/>
  <c r="K217" i="4"/>
  <c r="I218" i="4"/>
  <c r="J220" i="4"/>
  <c r="N222" i="4"/>
  <c r="J224" i="4"/>
  <c r="K226" i="4"/>
  <c r="N228" i="4"/>
  <c r="J230" i="4"/>
  <c r="L232" i="4"/>
  <c r="I232" i="4"/>
  <c r="L234" i="4"/>
  <c r="L237" i="4"/>
  <c r="I237" i="4"/>
  <c r="M239" i="4"/>
  <c r="I242" i="4"/>
  <c r="J243" i="4"/>
  <c r="L245" i="4"/>
  <c r="M245" i="4"/>
  <c r="J249" i="4"/>
  <c r="L261" i="4"/>
  <c r="I261" i="4"/>
  <c r="M263" i="4"/>
  <c r="L265" i="4"/>
  <c r="M265" i="4"/>
  <c r="I269" i="4"/>
  <c r="L273" i="4"/>
  <c r="M273" i="4"/>
  <c r="J277" i="4"/>
  <c r="L281" i="4"/>
  <c r="M281" i="4"/>
  <c r="I285" i="4"/>
  <c r="M287" i="4"/>
  <c r="J291" i="4"/>
  <c r="K296" i="4"/>
  <c r="J297" i="4"/>
  <c r="J303" i="4"/>
  <c r="K304" i="4"/>
  <c r="L309" i="4"/>
  <c r="I309" i="4"/>
  <c r="M311" i="4"/>
  <c r="L313" i="4"/>
  <c r="M313" i="4"/>
  <c r="J317" i="4"/>
  <c r="I325" i="4"/>
  <c r="M329" i="4"/>
  <c r="I331" i="4"/>
  <c r="J335" i="4"/>
  <c r="L337" i="4"/>
  <c r="M337" i="4"/>
  <c r="I341" i="4"/>
  <c r="M345" i="4"/>
  <c r="I347" i="4"/>
  <c r="L349" i="4"/>
  <c r="I349" i="4"/>
  <c r="M351" i="4"/>
  <c r="L355" i="4"/>
  <c r="J355" i="4"/>
  <c r="J359" i="4"/>
  <c r="L361" i="4"/>
  <c r="M361" i="4"/>
  <c r="I365" i="4"/>
  <c r="L371" i="4"/>
  <c r="I371" i="4"/>
  <c r="M373" i="4"/>
  <c r="L375" i="4"/>
  <c r="M375" i="4"/>
  <c r="J379" i="4"/>
  <c r="I383" i="4"/>
  <c r="M387" i="4"/>
  <c r="L389" i="4"/>
  <c r="J389" i="4"/>
  <c r="J391" i="4"/>
  <c r="I397" i="4"/>
  <c r="L403" i="4"/>
  <c r="I403" i="4"/>
  <c r="M405" i="4"/>
  <c r="L407" i="4"/>
  <c r="M407" i="4"/>
  <c r="J411" i="4"/>
  <c r="I415" i="4"/>
  <c r="L419" i="4"/>
  <c r="J423" i="4"/>
  <c r="J428" i="4"/>
  <c r="I429" i="4"/>
  <c r="L437" i="4"/>
  <c r="L442" i="4"/>
  <c r="J442" i="4"/>
  <c r="J443" i="4"/>
  <c r="J446" i="4"/>
  <c r="I447" i="4"/>
  <c r="M453" i="4"/>
  <c r="I455" i="4"/>
  <c r="L458" i="4"/>
  <c r="L461" i="4"/>
  <c r="J461" i="4"/>
  <c r="L467" i="4"/>
  <c r="M467" i="4"/>
  <c r="J471" i="4"/>
  <c r="J477" i="4"/>
  <c r="I483" i="4"/>
  <c r="L485" i="4"/>
  <c r="I485" i="4"/>
  <c r="L489" i="4"/>
  <c r="M489" i="4"/>
  <c r="L491" i="4"/>
  <c r="J491" i="4"/>
  <c r="M495" i="4"/>
  <c r="L497" i="4"/>
  <c r="M497" i="4"/>
  <c r="K499" i="4"/>
  <c r="J501" i="4"/>
  <c r="J503" i="4"/>
  <c r="K504" i="4"/>
  <c r="K505" i="4"/>
  <c r="I509" i="4"/>
  <c r="M513" i="4"/>
  <c r="I515" i="4"/>
  <c r="L517" i="4"/>
  <c r="I517" i="4"/>
  <c r="M519" i="4"/>
  <c r="L521" i="4"/>
  <c r="M521" i="4"/>
  <c r="K523" i="4"/>
  <c r="I525" i="4"/>
  <c r="M529" i="4"/>
  <c r="I531" i="4"/>
  <c r="L533" i="4"/>
  <c r="I533" i="4"/>
  <c r="L539" i="4"/>
  <c r="J539" i="4"/>
  <c r="M543" i="4"/>
  <c r="L545" i="4"/>
  <c r="M545" i="4"/>
  <c r="K547" i="4"/>
  <c r="J549" i="4"/>
  <c r="M553" i="4"/>
  <c r="I555" i="4"/>
  <c r="K556" i="4"/>
  <c r="M559" i="4"/>
  <c r="J566" i="4"/>
  <c r="L567" i="4"/>
  <c r="L577" i="4"/>
  <c r="L598" i="4"/>
  <c r="I598" i="4"/>
  <c r="M598" i="4"/>
  <c r="J598" i="4"/>
  <c r="J614" i="4"/>
  <c r="K619" i="4"/>
  <c r="I620" i="4"/>
  <c r="L622" i="4"/>
  <c r="M622" i="4"/>
  <c r="N622" i="4"/>
  <c r="I622" i="4"/>
  <c r="N626" i="4"/>
  <c r="L628" i="4"/>
  <c r="M628" i="4"/>
  <c r="J628" i="4"/>
  <c r="L634" i="4"/>
  <c r="M634" i="4"/>
  <c r="I634" i="4"/>
  <c r="J634" i="4"/>
  <c r="N644" i="4"/>
  <c r="N645" i="4"/>
  <c r="K645" i="4"/>
  <c r="J646" i="4"/>
  <c r="K651" i="4"/>
  <c r="I652" i="4"/>
  <c r="L654" i="4"/>
  <c r="M654" i="4"/>
  <c r="N654" i="4"/>
  <c r="I654" i="4"/>
  <c r="N658" i="4"/>
  <c r="L660" i="4"/>
  <c r="M660" i="4"/>
  <c r="J660" i="4"/>
  <c r="L666" i="4"/>
  <c r="M666" i="4"/>
  <c r="I666" i="4"/>
  <c r="J666" i="4"/>
  <c r="N676" i="4"/>
  <c r="N677" i="4"/>
  <c r="K677" i="4"/>
  <c r="J678" i="4"/>
  <c r="L686" i="4"/>
  <c r="M686" i="4"/>
  <c r="N686" i="4"/>
  <c r="J686" i="4"/>
  <c r="I686" i="4"/>
  <c r="L691" i="4"/>
  <c r="J691" i="4"/>
  <c r="I691" i="4"/>
  <c r="N691" i="4"/>
  <c r="L692" i="4"/>
  <c r="I692" i="4"/>
  <c r="K695" i="4"/>
  <c r="I703" i="4"/>
  <c r="L729" i="4"/>
  <c r="I729" i="4"/>
  <c r="M729" i="4"/>
  <c r="N729" i="4"/>
  <c r="J729" i="4"/>
  <c r="L759" i="4"/>
  <c r="I759" i="4"/>
  <c r="J759" i="4"/>
  <c r="N759" i="4"/>
  <c r="M759" i="4"/>
  <c r="K788" i="4"/>
  <c r="I793" i="4"/>
  <c r="K843" i="4"/>
  <c r="K866" i="4"/>
  <c r="L867" i="4"/>
  <c r="M867" i="4"/>
  <c r="J867" i="4"/>
  <c r="N867" i="4"/>
  <c r="I871" i="4"/>
  <c r="M872" i="4"/>
  <c r="L878" i="4"/>
  <c r="M878" i="4"/>
  <c r="J878" i="4"/>
  <c r="N878" i="4"/>
  <c r="N885" i="4"/>
  <c r="M885" i="4"/>
  <c r="I885" i="4"/>
  <c r="N899" i="4"/>
  <c r="M899" i="4"/>
  <c r="I899" i="4"/>
  <c r="N901" i="4"/>
  <c r="M901" i="4"/>
  <c r="I901" i="4"/>
  <c r="L920" i="4"/>
  <c r="J920" i="4"/>
  <c r="N924" i="4"/>
  <c r="L924" i="4"/>
  <c r="N617" i="4"/>
  <c r="K617" i="4"/>
  <c r="N625" i="4"/>
  <c r="K625" i="4"/>
  <c r="N633" i="4"/>
  <c r="K633" i="4"/>
  <c r="N641" i="4"/>
  <c r="K641" i="4"/>
  <c r="N649" i="4"/>
  <c r="K649" i="4"/>
  <c r="N657" i="4"/>
  <c r="K657" i="4"/>
  <c r="N665" i="4"/>
  <c r="K665" i="4"/>
  <c r="N673" i="4"/>
  <c r="K673" i="4"/>
  <c r="N681" i="4"/>
  <c r="K681" i="4"/>
  <c r="L689" i="4"/>
  <c r="K689" i="4"/>
  <c r="I689" i="4"/>
  <c r="L701" i="4"/>
  <c r="J701" i="4"/>
  <c r="M701" i="4"/>
  <c r="L713" i="4"/>
  <c r="J713" i="4"/>
  <c r="M713" i="4"/>
  <c r="L739" i="4"/>
  <c r="I739" i="4"/>
  <c r="N739" i="4"/>
  <c r="L741" i="4"/>
  <c r="M741" i="4"/>
  <c r="J741" i="4"/>
  <c r="L751" i="4"/>
  <c r="M751" i="4"/>
  <c r="N751" i="4"/>
  <c r="L753" i="4"/>
  <c r="I753" i="4"/>
  <c r="M753" i="4"/>
  <c r="L755" i="4"/>
  <c r="M755" i="4"/>
  <c r="I755" i="4"/>
  <c r="L805" i="4"/>
  <c r="I805" i="4"/>
  <c r="M805" i="4"/>
  <c r="L813" i="4"/>
  <c r="J813" i="4"/>
  <c r="N813" i="4"/>
  <c r="L823" i="4"/>
  <c r="I823" i="4"/>
  <c r="N823" i="4"/>
  <c r="L896" i="4"/>
  <c r="J896" i="4"/>
  <c r="N896" i="4"/>
  <c r="I896" i="4"/>
  <c r="K896" i="4"/>
  <c r="M896" i="4"/>
  <c r="N966" i="4"/>
  <c r="I966" i="4"/>
  <c r="L977" i="4"/>
  <c r="N977" i="4"/>
  <c r="J977" i="4"/>
  <c r="L684" i="4"/>
  <c r="M684" i="4"/>
  <c r="J684" i="4"/>
  <c r="J689" i="4"/>
  <c r="I700" i="4"/>
  <c r="I701" i="4"/>
  <c r="L709" i="4"/>
  <c r="I709" i="4"/>
  <c r="M709" i="4"/>
  <c r="I713" i="4"/>
  <c r="L725" i="4"/>
  <c r="M725" i="4"/>
  <c r="J725" i="4"/>
  <c r="K726" i="4"/>
  <c r="J739" i="4"/>
  <c r="I741" i="4"/>
  <c r="I751" i="4"/>
  <c r="J753" i="4"/>
  <c r="J755" i="4"/>
  <c r="L781" i="4"/>
  <c r="I781" i="4"/>
  <c r="J781" i="4"/>
  <c r="L787" i="4"/>
  <c r="J787" i="4"/>
  <c r="N787" i="4"/>
  <c r="L791" i="4"/>
  <c r="J791" i="4"/>
  <c r="I791" i="4"/>
  <c r="L799" i="4"/>
  <c r="I799" i="4"/>
  <c r="M799" i="4"/>
  <c r="J805" i="4"/>
  <c r="I813" i="4"/>
  <c r="J823" i="4"/>
  <c r="L825" i="4"/>
  <c r="J825" i="4"/>
  <c r="I825" i="4"/>
  <c r="K834" i="4"/>
  <c r="L835" i="4"/>
  <c r="M835" i="4"/>
  <c r="N835" i="4"/>
  <c r="L837" i="4"/>
  <c r="I837" i="4"/>
  <c r="M837" i="4"/>
  <c r="L839" i="4"/>
  <c r="M839" i="4"/>
  <c r="I839" i="4"/>
  <c r="K851" i="4"/>
  <c r="L861" i="4"/>
  <c r="J861" i="4"/>
  <c r="M861" i="4"/>
  <c r="I861" i="4"/>
  <c r="L898" i="4"/>
  <c r="K898" i="4"/>
  <c r="J898" i="4"/>
  <c r="M898" i="4"/>
  <c r="L918" i="4"/>
  <c r="J918" i="4"/>
  <c r="N235" i="4"/>
  <c r="K245" i="4"/>
  <c r="N247" i="4"/>
  <c r="K251" i="4"/>
  <c r="N253" i="4"/>
  <c r="M255" i="4"/>
  <c r="N257" i="4"/>
  <c r="N259" i="4"/>
  <c r="N267" i="4"/>
  <c r="N283" i="4"/>
  <c r="N293" i="4"/>
  <c r="N301" i="4"/>
  <c r="N307" i="4"/>
  <c r="K312" i="4"/>
  <c r="N319" i="4"/>
  <c r="N323" i="4"/>
  <c r="N333" i="4"/>
  <c r="N339" i="4"/>
  <c r="N353" i="4"/>
  <c r="N357" i="4"/>
  <c r="N369" i="4"/>
  <c r="N377" i="4"/>
  <c r="N385" i="4"/>
  <c r="N393" i="4"/>
  <c r="N401" i="4"/>
  <c r="N409" i="4"/>
  <c r="N417" i="4"/>
  <c r="N449" i="4"/>
  <c r="N457" i="4"/>
  <c r="N459" i="4"/>
  <c r="N463" i="4"/>
  <c r="N465" i="4"/>
  <c r="N473" i="4"/>
  <c r="N479" i="4"/>
  <c r="N481" i="4"/>
  <c r="N493" i="4"/>
  <c r="K496" i="4"/>
  <c r="K497" i="4"/>
  <c r="K501" i="4"/>
  <c r="N507" i="4"/>
  <c r="K510" i="4"/>
  <c r="N511" i="4"/>
  <c r="K515" i="4"/>
  <c r="K520" i="4"/>
  <c r="K521" i="4"/>
  <c r="K526" i="4"/>
  <c r="N527" i="4"/>
  <c r="K531" i="4"/>
  <c r="K535" i="4"/>
  <c r="N537" i="4"/>
  <c r="K540" i="4"/>
  <c r="N541" i="4"/>
  <c r="K544" i="4"/>
  <c r="K545" i="4"/>
  <c r="K549" i="4"/>
  <c r="N551" i="4"/>
  <c r="K555" i="4"/>
  <c r="N557" i="4"/>
  <c r="K560" i="4"/>
  <c r="L594" i="4"/>
  <c r="I594" i="4"/>
  <c r="L600" i="4"/>
  <c r="I600" i="4"/>
  <c r="L604" i="4"/>
  <c r="J604" i="4"/>
  <c r="L612" i="4"/>
  <c r="I612" i="4"/>
  <c r="L616" i="4"/>
  <c r="M616" i="4"/>
  <c r="L624" i="4"/>
  <c r="M624" i="4"/>
  <c r="L632" i="4"/>
  <c r="M632" i="4"/>
  <c r="L640" i="4"/>
  <c r="M640" i="4"/>
  <c r="L648" i="4"/>
  <c r="M648" i="4"/>
  <c r="L656" i="4"/>
  <c r="M656" i="4"/>
  <c r="L664" i="4"/>
  <c r="M664" i="4"/>
  <c r="L672" i="4"/>
  <c r="M672" i="4"/>
  <c r="L680" i="4"/>
  <c r="M680" i="4"/>
  <c r="L688" i="4"/>
  <c r="M688" i="4"/>
  <c r="L697" i="4"/>
  <c r="J697" i="4"/>
  <c r="L707" i="4"/>
  <c r="I707" i="4"/>
  <c r="L715" i="4"/>
  <c r="M715" i="4"/>
  <c r="L731" i="4"/>
  <c r="J731" i="4"/>
  <c r="L737" i="4"/>
  <c r="M737" i="4"/>
  <c r="L761" i="4"/>
  <c r="M761" i="4"/>
  <c r="L777" i="4"/>
  <c r="M777" i="4"/>
  <c r="L780" i="4"/>
  <c r="I780" i="4"/>
  <c r="L789" i="4"/>
  <c r="J789" i="4"/>
  <c r="L797" i="4"/>
  <c r="I797" i="4"/>
  <c r="L801" i="4"/>
  <c r="J801" i="4"/>
  <c r="L807" i="4"/>
  <c r="J807" i="4"/>
  <c r="L815" i="4"/>
  <c r="J815" i="4"/>
  <c r="K820" i="4"/>
  <c r="L821" i="4"/>
  <c r="M821" i="4"/>
  <c r="K823" i="4"/>
  <c r="K829" i="4"/>
  <c r="L833" i="4"/>
  <c r="I833" i="4"/>
  <c r="K840" i="4"/>
  <c r="K846" i="4"/>
  <c r="L847" i="4"/>
  <c r="J847" i="4"/>
  <c r="K852" i="4"/>
  <c r="L853" i="4"/>
  <c r="M853" i="4"/>
  <c r="N853" i="4"/>
  <c r="L855" i="4"/>
  <c r="I855" i="4"/>
  <c r="M855" i="4"/>
  <c r="K856" i="4"/>
  <c r="L890" i="4"/>
  <c r="K890" i="4"/>
  <c r="J890" i="4"/>
  <c r="I890" i="4"/>
  <c r="L904" i="4"/>
  <c r="J904" i="4"/>
  <c r="N904" i="4"/>
  <c r="I904" i="4"/>
  <c r="M904" i="4"/>
  <c r="L912" i="4"/>
  <c r="J912" i="4"/>
  <c r="N922" i="4"/>
  <c r="L922" i="4"/>
  <c r="N932" i="4"/>
  <c r="L932" i="4"/>
  <c r="N602" i="4"/>
  <c r="N608" i="4"/>
  <c r="N610" i="4"/>
  <c r="K693" i="4"/>
  <c r="K700" i="4"/>
  <c r="K702" i="4"/>
  <c r="N711" i="4"/>
  <c r="N717" i="4"/>
  <c r="N719" i="4"/>
  <c r="N733" i="4"/>
  <c r="N743" i="4"/>
  <c r="N747" i="4"/>
  <c r="N757" i="4"/>
  <c r="N763" i="4"/>
  <c r="N773" i="4"/>
  <c r="N779" i="4"/>
  <c r="M785" i="4"/>
  <c r="K791" i="4"/>
  <c r="N803" i="4"/>
  <c r="K821" i="4"/>
  <c r="K826" i="4"/>
  <c r="N827" i="4"/>
  <c r="K830" i="4"/>
  <c r="N831" i="4"/>
  <c r="K835" i="4"/>
  <c r="K839" i="4"/>
  <c r="N841" i="4"/>
  <c r="K844" i="4"/>
  <c r="N845" i="4"/>
  <c r="K848" i="4"/>
  <c r="K849" i="4"/>
  <c r="L857" i="4"/>
  <c r="J857" i="4"/>
  <c r="K872" i="4"/>
  <c r="L876" i="4"/>
  <c r="K876" i="4"/>
  <c r="J876" i="4"/>
  <c r="L880" i="4"/>
  <c r="M880" i="4"/>
  <c r="J880" i="4"/>
  <c r="L888" i="4"/>
  <c r="J888" i="4"/>
  <c r="N888" i="4"/>
  <c r="I888" i="4"/>
  <c r="J950" i="4"/>
  <c r="L950" i="4"/>
  <c r="I950" i="4"/>
  <c r="L979" i="4"/>
  <c r="N979" i="4"/>
  <c r="J979" i="4"/>
  <c r="K993" i="4"/>
  <c r="M1002" i="4"/>
  <c r="L1002" i="4"/>
  <c r="N865" i="4"/>
  <c r="N869" i="4"/>
  <c r="K885" i="4"/>
  <c r="M886" i="4"/>
  <c r="K893" i="4"/>
  <c r="M894" i="4"/>
  <c r="K901" i="4"/>
  <c r="M902" i="4"/>
  <c r="K853" i="4"/>
  <c r="K858" i="4"/>
  <c r="N859" i="4"/>
  <c r="K862" i="4"/>
  <c r="N863" i="4"/>
  <c r="I865" i="4"/>
  <c r="K867" i="4"/>
  <c r="I869" i="4"/>
  <c r="K874" i="4"/>
  <c r="K877" i="4"/>
  <c r="K880" i="4"/>
  <c r="N882" i="4"/>
  <c r="M884" i="4"/>
  <c r="I886" i="4"/>
  <c r="N886" i="4"/>
  <c r="I889" i="4"/>
  <c r="K891" i="4"/>
  <c r="M892" i="4"/>
  <c r="I894" i="4"/>
  <c r="N894" i="4"/>
  <c r="I897" i="4"/>
  <c r="K899" i="4"/>
  <c r="M900" i="4"/>
  <c r="I902" i="4"/>
  <c r="N902" i="4"/>
  <c r="L928" i="4"/>
  <c r="I936" i="4"/>
  <c r="I944" i="4"/>
  <c r="J955" i="4"/>
  <c r="I962" i="4"/>
  <c r="I974" i="4"/>
  <c r="K977" i="4"/>
  <c r="K979" i="4"/>
  <c r="I980" i="4"/>
  <c r="K985" i="4"/>
  <c r="K987" i="4"/>
  <c r="I988" i="4"/>
  <c r="K995" i="4"/>
  <c r="J997" i="4"/>
  <c r="J999" i="4"/>
  <c r="J1003" i="4"/>
  <c r="K258" i="4"/>
  <c r="K530" i="4"/>
  <c r="F530" i="4"/>
  <c r="F690" i="4"/>
  <c r="K690" i="4"/>
  <c r="K692" i="4"/>
  <c r="K697" i="4"/>
  <c r="F697" i="4"/>
  <c r="K498" i="4"/>
  <c r="F498" i="4"/>
  <c r="F806" i="4"/>
  <c r="K806" i="4"/>
  <c r="K879" i="4"/>
  <c r="K957" i="4"/>
  <c r="F957" i="4"/>
  <c r="K7" i="4"/>
  <c r="K9" i="4"/>
  <c r="K11" i="4"/>
  <c r="K13" i="4"/>
  <c r="K15" i="4"/>
  <c r="K17" i="4"/>
  <c r="K19" i="4"/>
  <c r="K21" i="4"/>
  <c r="K23" i="4"/>
  <c r="K25" i="4"/>
  <c r="K27" i="4"/>
  <c r="K29" i="4"/>
  <c r="K31" i="4"/>
  <c r="F42" i="4"/>
  <c r="K43" i="4"/>
  <c r="F49" i="4"/>
  <c r="F53" i="4"/>
  <c r="F61" i="4"/>
  <c r="F69" i="4"/>
  <c r="F77" i="4"/>
  <c r="F85" i="4"/>
  <c r="F93" i="4"/>
  <c r="F95" i="4"/>
  <c r="F97" i="4"/>
  <c r="F99" i="4"/>
  <c r="F101" i="4"/>
  <c r="F103" i="4"/>
  <c r="F105" i="4"/>
  <c r="F107" i="4"/>
  <c r="F109" i="4"/>
  <c r="F111" i="4"/>
  <c r="F113" i="4"/>
  <c r="F115" i="4"/>
  <c r="F117" i="4"/>
  <c r="F119" i="4"/>
  <c r="F121" i="4"/>
  <c r="F123" i="4"/>
  <c r="F125" i="4"/>
  <c r="F127" i="4"/>
  <c r="F129" i="4"/>
  <c r="F131" i="4"/>
  <c r="F133" i="4"/>
  <c r="K239" i="4"/>
  <c r="F239" i="4"/>
  <c r="K242" i="4"/>
  <c r="F256" i="4"/>
  <c r="F304" i="4"/>
  <c r="F472" i="4"/>
  <c r="F474" i="4"/>
  <c r="F510" i="4"/>
  <c r="F516" i="4"/>
  <c r="K522" i="4"/>
  <c r="F522" i="4"/>
  <c r="F542" i="4"/>
  <c r="F548" i="4"/>
  <c r="K554" i="4"/>
  <c r="F554" i="4"/>
  <c r="F804" i="4"/>
  <c r="F822" i="4"/>
  <c r="F830" i="4"/>
  <c r="F838" i="4"/>
  <c r="F846" i="4"/>
  <c r="F854" i="4"/>
  <c r="F862" i="4"/>
  <c r="F870" i="4"/>
  <c r="F877" i="4"/>
  <c r="K953" i="4"/>
  <c r="F953" i="4"/>
  <c r="F993" i="4"/>
  <c r="F995" i="4"/>
  <c r="F1001" i="4"/>
  <c r="F1003" i="4"/>
  <c r="F33" i="4"/>
  <c r="F40" i="4"/>
  <c r="K55" i="4"/>
  <c r="K87" i="4"/>
  <c r="K135" i="4"/>
  <c r="K143" i="4"/>
  <c r="K151" i="4"/>
  <c r="K159" i="4"/>
  <c r="K167" i="4"/>
  <c r="K175" i="4"/>
  <c r="K183" i="4"/>
  <c r="K191" i="4"/>
  <c r="K199" i="4"/>
  <c r="K207" i="4"/>
  <c r="K215" i="4"/>
  <c r="K223" i="4"/>
  <c r="K231" i="4"/>
  <c r="K247" i="4"/>
  <c r="F247" i="4"/>
  <c r="K250" i="4"/>
  <c r="K264" i="4"/>
  <c r="F456" i="4"/>
  <c r="F502" i="4"/>
  <c r="F508" i="4"/>
  <c r="K514" i="4"/>
  <c r="F514" i="4"/>
  <c r="F534" i="4"/>
  <c r="F540" i="4"/>
  <c r="K546" i="4"/>
  <c r="F546" i="4"/>
  <c r="K780" i="4"/>
  <c r="K812" i="4"/>
  <c r="F820" i="4"/>
  <c r="F828" i="4"/>
  <c r="F836" i="4"/>
  <c r="F844" i="4"/>
  <c r="F852" i="4"/>
  <c r="F860" i="4"/>
  <c r="F868" i="4"/>
  <c r="K970" i="4"/>
  <c r="F34" i="4"/>
  <c r="F50" i="4"/>
  <c r="K141" i="4"/>
  <c r="K149" i="4"/>
  <c r="K157" i="4"/>
  <c r="K165" i="4"/>
  <c r="K173" i="4"/>
  <c r="K181" i="4"/>
  <c r="K189" i="4"/>
  <c r="K197" i="4"/>
  <c r="K205" i="4"/>
  <c r="K213" i="4"/>
  <c r="K221" i="4"/>
  <c r="K229" i="4"/>
  <c r="F312" i="4"/>
  <c r="F500" i="4"/>
  <c r="K506" i="4"/>
  <c r="F506" i="4"/>
  <c r="F526" i="4"/>
  <c r="F532" i="4"/>
  <c r="K538" i="4"/>
  <c r="F538" i="4"/>
  <c r="F558" i="4"/>
  <c r="F826" i="4"/>
  <c r="F834" i="4"/>
  <c r="F842" i="4"/>
  <c r="F850" i="4"/>
  <c r="F858" i="4"/>
  <c r="F866" i="4"/>
  <c r="K966" i="4"/>
  <c r="F593" i="4"/>
  <c r="K593" i="4"/>
  <c r="K964" i="4"/>
  <c r="K968" i="4"/>
  <c r="N39" i="4"/>
  <c r="J39" i="4"/>
  <c r="N47" i="4"/>
  <c r="J47" i="4"/>
  <c r="K64" i="4"/>
  <c r="F64" i="4"/>
  <c r="K72" i="4"/>
  <c r="F72" i="4"/>
  <c r="K88" i="4"/>
  <c r="F88" i="4"/>
  <c r="K299" i="4"/>
  <c r="F299" i="4"/>
  <c r="K319" i="4"/>
  <c r="F319" i="4"/>
  <c r="K343" i="4"/>
  <c r="F343" i="4"/>
  <c r="K359" i="4"/>
  <c r="F359" i="4"/>
  <c r="K367" i="4"/>
  <c r="F367" i="4"/>
  <c r="K371" i="4"/>
  <c r="F371" i="4"/>
  <c r="K373" i="4"/>
  <c r="F373" i="4"/>
  <c r="K377" i="4"/>
  <c r="F377" i="4"/>
  <c r="K381" i="4"/>
  <c r="F381" i="4"/>
  <c r="K385" i="4"/>
  <c r="F385" i="4"/>
  <c r="K389" i="4"/>
  <c r="F389" i="4"/>
  <c r="K393" i="4"/>
  <c r="F393" i="4"/>
  <c r="K397" i="4"/>
  <c r="F397" i="4"/>
  <c r="K401" i="4"/>
  <c r="F401" i="4"/>
  <c r="K403" i="4"/>
  <c r="F403" i="4"/>
  <c r="K407" i="4"/>
  <c r="F407" i="4"/>
  <c r="K411" i="4"/>
  <c r="F411" i="4"/>
  <c r="K415" i="4"/>
  <c r="F415" i="4"/>
  <c r="N452" i="4"/>
  <c r="J452" i="4"/>
  <c r="M452" i="4"/>
  <c r="I452" i="4"/>
  <c r="L452" i="4"/>
  <c r="K452" i="4"/>
  <c r="N492" i="4"/>
  <c r="J492" i="4"/>
  <c r="M492" i="4"/>
  <c r="I492" i="4"/>
  <c r="L492" i="4"/>
  <c r="K492" i="4"/>
  <c r="K699" i="4"/>
  <c r="F699" i="4"/>
  <c r="K713" i="4"/>
  <c r="F713" i="4"/>
  <c r="K728" i="4"/>
  <c r="N728" i="4"/>
  <c r="J728" i="4"/>
  <c r="M728" i="4"/>
  <c r="I728" i="4"/>
  <c r="L728" i="4"/>
  <c r="K744" i="4"/>
  <c r="N744" i="4"/>
  <c r="J744" i="4"/>
  <c r="M744" i="4"/>
  <c r="I744" i="4"/>
  <c r="L744" i="4"/>
  <c r="K760" i="4"/>
  <c r="N760" i="4"/>
  <c r="J760" i="4"/>
  <c r="M760" i="4"/>
  <c r="I760" i="4"/>
  <c r="L760" i="4"/>
  <c r="M923" i="4"/>
  <c r="I923" i="4"/>
  <c r="K923" i="4"/>
  <c r="N923" i="4"/>
  <c r="L923" i="4"/>
  <c r="J923" i="4"/>
  <c r="M931" i="4"/>
  <c r="I931" i="4"/>
  <c r="K931" i="4"/>
  <c r="N931" i="4"/>
  <c r="L931" i="4"/>
  <c r="J931" i="4"/>
  <c r="J6" i="4"/>
  <c r="N6" i="4"/>
  <c r="L7" i="4"/>
  <c r="J8" i="4"/>
  <c r="N8" i="4"/>
  <c r="L9" i="4"/>
  <c r="J10" i="4"/>
  <c r="N10" i="4"/>
  <c r="L11" i="4"/>
  <c r="J12" i="4"/>
  <c r="N12" i="4"/>
  <c r="L13" i="4"/>
  <c r="J14" i="4"/>
  <c r="N14" i="4"/>
  <c r="L15" i="4"/>
  <c r="J16" i="4"/>
  <c r="N16" i="4"/>
  <c r="L17" i="4"/>
  <c r="J18" i="4"/>
  <c r="N18" i="4"/>
  <c r="L19" i="4"/>
  <c r="J20" i="4"/>
  <c r="N20" i="4"/>
  <c r="L21" i="4"/>
  <c r="J22" i="4"/>
  <c r="N22" i="4"/>
  <c r="L23" i="4"/>
  <c r="J24" i="4"/>
  <c r="N24" i="4"/>
  <c r="L25" i="4"/>
  <c r="J26" i="4"/>
  <c r="N26" i="4"/>
  <c r="L27" i="4"/>
  <c r="J28" i="4"/>
  <c r="N28" i="4"/>
  <c r="L29" i="4"/>
  <c r="J30" i="4"/>
  <c r="N30" i="4"/>
  <c r="L31" i="4"/>
  <c r="J32" i="4"/>
  <c r="N32" i="4"/>
  <c r="N33" i="4"/>
  <c r="J33" i="4"/>
  <c r="M33" i="4"/>
  <c r="F36" i="4"/>
  <c r="K37" i="4"/>
  <c r="I39" i="4"/>
  <c r="N41" i="4"/>
  <c r="J41" i="4"/>
  <c r="M41" i="4"/>
  <c r="F44" i="4"/>
  <c r="K45" i="4"/>
  <c r="I47" i="4"/>
  <c r="N49" i="4"/>
  <c r="J49" i="4"/>
  <c r="M49" i="4"/>
  <c r="N57" i="4"/>
  <c r="J57" i="4"/>
  <c r="M57" i="4"/>
  <c r="I57" i="4"/>
  <c r="K58" i="4"/>
  <c r="F58" i="4"/>
  <c r="K63" i="4"/>
  <c r="N65" i="4"/>
  <c r="J65" i="4"/>
  <c r="M65" i="4"/>
  <c r="I65" i="4"/>
  <c r="K66" i="4"/>
  <c r="F66" i="4"/>
  <c r="K71" i="4"/>
  <c r="N73" i="4"/>
  <c r="J73" i="4"/>
  <c r="M73" i="4"/>
  <c r="I73" i="4"/>
  <c r="K74" i="4"/>
  <c r="F74" i="4"/>
  <c r="K79" i="4"/>
  <c r="N81" i="4"/>
  <c r="J81" i="4"/>
  <c r="M81" i="4"/>
  <c r="I81" i="4"/>
  <c r="K82" i="4"/>
  <c r="F82" i="4"/>
  <c r="N89" i="4"/>
  <c r="J89" i="4"/>
  <c r="M89" i="4"/>
  <c r="I89" i="4"/>
  <c r="K90" i="4"/>
  <c r="F90" i="4"/>
  <c r="K241" i="4"/>
  <c r="F241" i="4"/>
  <c r="N252" i="4"/>
  <c r="J252" i="4"/>
  <c r="L252" i="4"/>
  <c r="K252" i="4"/>
  <c r="I252" i="4"/>
  <c r="N274" i="4"/>
  <c r="J274" i="4"/>
  <c r="M274" i="4"/>
  <c r="I274" i="4"/>
  <c r="L274" i="4"/>
  <c r="K274" i="4"/>
  <c r="K291" i="4"/>
  <c r="F291" i="4"/>
  <c r="N306" i="4"/>
  <c r="J306" i="4"/>
  <c r="M306" i="4"/>
  <c r="I306" i="4"/>
  <c r="L306" i="4"/>
  <c r="K306" i="4"/>
  <c r="K317" i="4"/>
  <c r="F317" i="4"/>
  <c r="K325" i="4"/>
  <c r="F325" i="4"/>
  <c r="K333" i="4"/>
  <c r="F333" i="4"/>
  <c r="K341" i="4"/>
  <c r="F341" i="4"/>
  <c r="K349" i="4"/>
  <c r="F349" i="4"/>
  <c r="K357" i="4"/>
  <c r="F357" i="4"/>
  <c r="K365" i="4"/>
  <c r="F365" i="4"/>
  <c r="M39" i="4"/>
  <c r="N55" i="4"/>
  <c r="J55" i="4"/>
  <c r="M55" i="4"/>
  <c r="I55" i="4"/>
  <c r="K80" i="4"/>
  <c r="F80" i="4"/>
  <c r="N87" i="4"/>
  <c r="J87" i="4"/>
  <c r="M87" i="4"/>
  <c r="I87" i="4"/>
  <c r="N244" i="4"/>
  <c r="J244" i="4"/>
  <c r="L244" i="4"/>
  <c r="K244" i="4"/>
  <c r="I244" i="4"/>
  <c r="K267" i="4"/>
  <c r="F267" i="4"/>
  <c r="N282" i="4"/>
  <c r="J282" i="4"/>
  <c r="M282" i="4"/>
  <c r="I282" i="4"/>
  <c r="L282" i="4"/>
  <c r="K282" i="4"/>
  <c r="N314" i="4"/>
  <c r="J314" i="4"/>
  <c r="M314" i="4"/>
  <c r="I314" i="4"/>
  <c r="L314" i="4"/>
  <c r="K314" i="4"/>
  <c r="K327" i="4"/>
  <c r="F327" i="4"/>
  <c r="K335" i="4"/>
  <c r="F335" i="4"/>
  <c r="K351" i="4"/>
  <c r="F351" i="4"/>
  <c r="K369" i="4"/>
  <c r="F369" i="4"/>
  <c r="K375" i="4"/>
  <c r="F375" i="4"/>
  <c r="K379" i="4"/>
  <c r="F379" i="4"/>
  <c r="K383" i="4"/>
  <c r="F383" i="4"/>
  <c r="K387" i="4"/>
  <c r="F387" i="4"/>
  <c r="K391" i="4"/>
  <c r="F391" i="4"/>
  <c r="K395" i="4"/>
  <c r="F395" i="4"/>
  <c r="K399" i="4"/>
  <c r="F399" i="4"/>
  <c r="K405" i="4"/>
  <c r="F405" i="4"/>
  <c r="K409" i="4"/>
  <c r="F409" i="4"/>
  <c r="K413" i="4"/>
  <c r="F413" i="4"/>
  <c r="K417" i="4"/>
  <c r="F417" i="4"/>
  <c r="N460" i="4"/>
  <c r="J460" i="4"/>
  <c r="M460" i="4"/>
  <c r="I460" i="4"/>
  <c r="L460" i="4"/>
  <c r="K460" i="4"/>
  <c r="N468" i="4"/>
  <c r="J468" i="4"/>
  <c r="M468" i="4"/>
  <c r="I468" i="4"/>
  <c r="L468" i="4"/>
  <c r="K468" i="4"/>
  <c r="N476" i="4"/>
  <c r="J476" i="4"/>
  <c r="M476" i="4"/>
  <c r="I476" i="4"/>
  <c r="L476" i="4"/>
  <c r="K476" i="4"/>
  <c r="N484" i="4"/>
  <c r="J484" i="4"/>
  <c r="M484" i="4"/>
  <c r="I484" i="4"/>
  <c r="L484" i="4"/>
  <c r="K484" i="4"/>
  <c r="K736" i="4"/>
  <c r="N736" i="4"/>
  <c r="J736" i="4"/>
  <c r="M736" i="4"/>
  <c r="I736" i="4"/>
  <c r="L736" i="4"/>
  <c r="K752" i="4"/>
  <c r="N752" i="4"/>
  <c r="J752" i="4"/>
  <c r="M752" i="4"/>
  <c r="I752" i="4"/>
  <c r="L752" i="4"/>
  <c r="K768" i="4"/>
  <c r="N768" i="4"/>
  <c r="J768" i="4"/>
  <c r="M768" i="4"/>
  <c r="I768" i="4"/>
  <c r="L768" i="4"/>
  <c r="K776" i="4"/>
  <c r="N776" i="4"/>
  <c r="J776" i="4"/>
  <c r="M776" i="4"/>
  <c r="I776" i="4"/>
  <c r="L776" i="4"/>
  <c r="K956" i="4"/>
  <c r="N956" i="4"/>
  <c r="J956" i="4"/>
  <c r="M956" i="4"/>
  <c r="L956" i="4"/>
  <c r="I956" i="4"/>
  <c r="I5" i="4"/>
  <c r="K5" i="4" s="1"/>
  <c r="K6" i="4"/>
  <c r="I7" i="4"/>
  <c r="K8" i="4"/>
  <c r="I9" i="4"/>
  <c r="K10" i="4"/>
  <c r="I11" i="4"/>
  <c r="K12" i="4"/>
  <c r="I13" i="4"/>
  <c r="K14" i="4"/>
  <c r="I15" i="4"/>
  <c r="K16" i="4"/>
  <c r="I17" i="4"/>
  <c r="K18" i="4"/>
  <c r="I19" i="4"/>
  <c r="K20" i="4"/>
  <c r="I21" i="4"/>
  <c r="K22" i="4"/>
  <c r="I23" i="4"/>
  <c r="K24" i="4"/>
  <c r="I25" i="4"/>
  <c r="K26" i="4"/>
  <c r="I27" i="4"/>
  <c r="K28" i="4"/>
  <c r="I29" i="4"/>
  <c r="K30" i="4"/>
  <c r="I31" i="4"/>
  <c r="K32" i="4"/>
  <c r="I33" i="4"/>
  <c r="N35" i="4"/>
  <c r="J35" i="4"/>
  <c r="M35" i="4"/>
  <c r="F38" i="4"/>
  <c r="K39" i="4"/>
  <c r="I41" i="4"/>
  <c r="N43" i="4"/>
  <c r="J43" i="4"/>
  <c r="M43" i="4"/>
  <c r="F46" i="4"/>
  <c r="K47" i="4"/>
  <c r="I49" i="4"/>
  <c r="N51" i="4"/>
  <c r="J51" i="4"/>
  <c r="M51" i="4"/>
  <c r="I51" i="4"/>
  <c r="K52" i="4"/>
  <c r="F52" i="4"/>
  <c r="L55" i="4"/>
  <c r="K57" i="4"/>
  <c r="N59" i="4"/>
  <c r="J59" i="4"/>
  <c r="M59" i="4"/>
  <c r="I59" i="4"/>
  <c r="K60" i="4"/>
  <c r="F60" i="4"/>
  <c r="K65" i="4"/>
  <c r="N67" i="4"/>
  <c r="J67" i="4"/>
  <c r="M67" i="4"/>
  <c r="I67" i="4"/>
  <c r="K68" i="4"/>
  <c r="F68" i="4"/>
  <c r="K73" i="4"/>
  <c r="N75" i="4"/>
  <c r="J75" i="4"/>
  <c r="M75" i="4"/>
  <c r="I75" i="4"/>
  <c r="K76" i="4"/>
  <c r="F76" i="4"/>
  <c r="K81" i="4"/>
  <c r="N83" i="4"/>
  <c r="J83" i="4"/>
  <c r="M83" i="4"/>
  <c r="I83" i="4"/>
  <c r="K84" i="4"/>
  <c r="F84" i="4"/>
  <c r="L87" i="4"/>
  <c r="K89" i="4"/>
  <c r="N91" i="4"/>
  <c r="J91" i="4"/>
  <c r="M91" i="4"/>
  <c r="I91" i="4"/>
  <c r="K92" i="4"/>
  <c r="F92" i="4"/>
  <c r="K249" i="4"/>
  <c r="F249" i="4"/>
  <c r="N260" i="4"/>
  <c r="J260" i="4"/>
  <c r="M260" i="4"/>
  <c r="L260" i="4"/>
  <c r="K260" i="4"/>
  <c r="I260" i="4"/>
  <c r="N266" i="4"/>
  <c r="J266" i="4"/>
  <c r="M266" i="4"/>
  <c r="I266" i="4"/>
  <c r="L266" i="4"/>
  <c r="K266" i="4"/>
  <c r="K283" i="4"/>
  <c r="F283" i="4"/>
  <c r="N298" i="4"/>
  <c r="J298" i="4"/>
  <c r="M298" i="4"/>
  <c r="I298" i="4"/>
  <c r="L298" i="4"/>
  <c r="K298" i="4"/>
  <c r="K315" i="4"/>
  <c r="F315" i="4"/>
  <c r="K323" i="4"/>
  <c r="F323" i="4"/>
  <c r="K331" i="4"/>
  <c r="F331" i="4"/>
  <c r="K339" i="4"/>
  <c r="F339" i="4"/>
  <c r="K347" i="4"/>
  <c r="F347" i="4"/>
  <c r="K355" i="4"/>
  <c r="F355" i="4"/>
  <c r="K363" i="4"/>
  <c r="F363" i="4"/>
  <c r="M47" i="4"/>
  <c r="K56" i="4"/>
  <c r="F56" i="4"/>
  <c r="N63" i="4"/>
  <c r="J63" i="4"/>
  <c r="M63" i="4"/>
  <c r="I63" i="4"/>
  <c r="N71" i="4"/>
  <c r="J71" i="4"/>
  <c r="M71" i="4"/>
  <c r="I71" i="4"/>
  <c r="N79" i="4"/>
  <c r="J79" i="4"/>
  <c r="M79" i="4"/>
  <c r="I79" i="4"/>
  <c r="N37" i="4"/>
  <c r="J37" i="4"/>
  <c r="M37" i="4"/>
  <c r="L39" i="4"/>
  <c r="N45" i="4"/>
  <c r="J45" i="4"/>
  <c r="M45" i="4"/>
  <c r="L47" i="4"/>
  <c r="N53" i="4"/>
  <c r="J53" i="4"/>
  <c r="M53" i="4"/>
  <c r="I53" i="4"/>
  <c r="K54" i="4"/>
  <c r="F54" i="4"/>
  <c r="N61" i="4"/>
  <c r="J61" i="4"/>
  <c r="M61" i="4"/>
  <c r="I61" i="4"/>
  <c r="K62" i="4"/>
  <c r="F62" i="4"/>
  <c r="N69" i="4"/>
  <c r="J69" i="4"/>
  <c r="M69" i="4"/>
  <c r="I69" i="4"/>
  <c r="K70" i="4"/>
  <c r="F70" i="4"/>
  <c r="N77" i="4"/>
  <c r="J77" i="4"/>
  <c r="M77" i="4"/>
  <c r="I77" i="4"/>
  <c r="K78" i="4"/>
  <c r="F78" i="4"/>
  <c r="N85" i="4"/>
  <c r="J85" i="4"/>
  <c r="M85" i="4"/>
  <c r="I85" i="4"/>
  <c r="K86" i="4"/>
  <c r="F86" i="4"/>
  <c r="N93" i="4"/>
  <c r="J93" i="4"/>
  <c r="M93" i="4"/>
  <c r="I93" i="4"/>
  <c r="K94" i="4"/>
  <c r="F94" i="4"/>
  <c r="N236" i="4"/>
  <c r="J236" i="4"/>
  <c r="L236" i="4"/>
  <c r="K236" i="4"/>
  <c r="I236" i="4"/>
  <c r="K257" i="4"/>
  <c r="F257" i="4"/>
  <c r="K275" i="4"/>
  <c r="F275" i="4"/>
  <c r="N290" i="4"/>
  <c r="J290" i="4"/>
  <c r="M290" i="4"/>
  <c r="I290" i="4"/>
  <c r="L290" i="4"/>
  <c r="K290" i="4"/>
  <c r="K307" i="4"/>
  <c r="F307" i="4"/>
  <c r="K321" i="4"/>
  <c r="F321" i="4"/>
  <c r="K329" i="4"/>
  <c r="F329" i="4"/>
  <c r="K337" i="4"/>
  <c r="F337" i="4"/>
  <c r="K345" i="4"/>
  <c r="F345" i="4"/>
  <c r="K353" i="4"/>
  <c r="F353" i="4"/>
  <c r="K361" i="4"/>
  <c r="F361" i="4"/>
  <c r="L95" i="4"/>
  <c r="L97" i="4"/>
  <c r="L99" i="4"/>
  <c r="L101" i="4"/>
  <c r="L103" i="4"/>
  <c r="L105" i="4"/>
  <c r="L107" i="4"/>
  <c r="L109" i="4"/>
  <c r="L111" i="4"/>
  <c r="L113" i="4"/>
  <c r="L115" i="4"/>
  <c r="L117" i="4"/>
  <c r="L119" i="4"/>
  <c r="L121" i="4"/>
  <c r="L123" i="4"/>
  <c r="L125" i="4"/>
  <c r="L127" i="4"/>
  <c r="L129" i="4"/>
  <c r="L131" i="4"/>
  <c r="L133" i="4"/>
  <c r="L135" i="4"/>
  <c r="L137" i="4"/>
  <c r="L139" i="4"/>
  <c r="L141" i="4"/>
  <c r="L143" i="4"/>
  <c r="L145" i="4"/>
  <c r="L147" i="4"/>
  <c r="L149" i="4"/>
  <c r="L151" i="4"/>
  <c r="L153" i="4"/>
  <c r="L155" i="4"/>
  <c r="L157" i="4"/>
  <c r="L159" i="4"/>
  <c r="L161" i="4"/>
  <c r="L163" i="4"/>
  <c r="L165" i="4"/>
  <c r="L167" i="4"/>
  <c r="L169" i="4"/>
  <c r="L171" i="4"/>
  <c r="L173" i="4"/>
  <c r="L175" i="4"/>
  <c r="L177" i="4"/>
  <c r="L179" i="4"/>
  <c r="L181" i="4"/>
  <c r="L183" i="4"/>
  <c r="L185" i="4"/>
  <c r="L187" i="4"/>
  <c r="L189" i="4"/>
  <c r="L191" i="4"/>
  <c r="L193" i="4"/>
  <c r="L195" i="4"/>
  <c r="L197" i="4"/>
  <c r="L199" i="4"/>
  <c r="L201" i="4"/>
  <c r="L203" i="4"/>
  <c r="L205" i="4"/>
  <c r="L207" i="4"/>
  <c r="L209" i="4"/>
  <c r="L211" i="4"/>
  <c r="L213" i="4"/>
  <c r="L215" i="4"/>
  <c r="L217" i="4"/>
  <c r="L219" i="4"/>
  <c r="L221" i="4"/>
  <c r="L223" i="4"/>
  <c r="L225" i="4"/>
  <c r="L227" i="4"/>
  <c r="L229" i="4"/>
  <c r="L231" i="4"/>
  <c r="L233" i="4"/>
  <c r="N238" i="4"/>
  <c r="J238" i="4"/>
  <c r="M238" i="4"/>
  <c r="N246" i="4"/>
  <c r="J246" i="4"/>
  <c r="M246" i="4"/>
  <c r="N254" i="4"/>
  <c r="J254" i="4"/>
  <c r="M254" i="4"/>
  <c r="K261" i="4"/>
  <c r="F261" i="4"/>
  <c r="N268" i="4"/>
  <c r="J268" i="4"/>
  <c r="M268" i="4"/>
  <c r="I268" i="4"/>
  <c r="K269" i="4"/>
  <c r="F269" i="4"/>
  <c r="N276" i="4"/>
  <c r="J276" i="4"/>
  <c r="M276" i="4"/>
  <c r="I276" i="4"/>
  <c r="K277" i="4"/>
  <c r="F277" i="4"/>
  <c r="N284" i="4"/>
  <c r="J284" i="4"/>
  <c r="M284" i="4"/>
  <c r="I284" i="4"/>
  <c r="K285" i="4"/>
  <c r="F285" i="4"/>
  <c r="N292" i="4"/>
  <c r="J292" i="4"/>
  <c r="M292" i="4"/>
  <c r="I292" i="4"/>
  <c r="K293" i="4"/>
  <c r="F293" i="4"/>
  <c r="N300" i="4"/>
  <c r="J300" i="4"/>
  <c r="M300" i="4"/>
  <c r="I300" i="4"/>
  <c r="K301" i="4"/>
  <c r="F301" i="4"/>
  <c r="N308" i="4"/>
  <c r="J308" i="4"/>
  <c r="M308" i="4"/>
  <c r="I308" i="4"/>
  <c r="K309" i="4"/>
  <c r="F309" i="4"/>
  <c r="K316" i="4"/>
  <c r="N316" i="4"/>
  <c r="J316" i="4"/>
  <c r="M316" i="4"/>
  <c r="I316" i="4"/>
  <c r="K318" i="4"/>
  <c r="N318" i="4"/>
  <c r="J318" i="4"/>
  <c r="M318" i="4"/>
  <c r="I318" i="4"/>
  <c r="K320" i="4"/>
  <c r="N320" i="4"/>
  <c r="J320" i="4"/>
  <c r="M320" i="4"/>
  <c r="I320" i="4"/>
  <c r="K322" i="4"/>
  <c r="N322" i="4"/>
  <c r="J322" i="4"/>
  <c r="M322" i="4"/>
  <c r="I322" i="4"/>
  <c r="K324" i="4"/>
  <c r="N324" i="4"/>
  <c r="J324" i="4"/>
  <c r="M324" i="4"/>
  <c r="I324" i="4"/>
  <c r="K326" i="4"/>
  <c r="N326" i="4"/>
  <c r="J326" i="4"/>
  <c r="M326" i="4"/>
  <c r="I326" i="4"/>
  <c r="K328" i="4"/>
  <c r="N328" i="4"/>
  <c r="J328" i="4"/>
  <c r="M328" i="4"/>
  <c r="I328" i="4"/>
  <c r="K330" i="4"/>
  <c r="N330" i="4"/>
  <c r="J330" i="4"/>
  <c r="M330" i="4"/>
  <c r="I330" i="4"/>
  <c r="K332" i="4"/>
  <c r="N332" i="4"/>
  <c r="J332" i="4"/>
  <c r="M332" i="4"/>
  <c r="I332" i="4"/>
  <c r="K334" i="4"/>
  <c r="N334" i="4"/>
  <c r="J334" i="4"/>
  <c r="M334" i="4"/>
  <c r="I334" i="4"/>
  <c r="K336" i="4"/>
  <c r="N336" i="4"/>
  <c r="J336" i="4"/>
  <c r="M336" i="4"/>
  <c r="I336" i="4"/>
  <c r="K338" i="4"/>
  <c r="N338" i="4"/>
  <c r="J338" i="4"/>
  <c r="M338" i="4"/>
  <c r="I338" i="4"/>
  <c r="K340" i="4"/>
  <c r="N340" i="4"/>
  <c r="J340" i="4"/>
  <c r="M340" i="4"/>
  <c r="I340" i="4"/>
  <c r="K342" i="4"/>
  <c r="N342" i="4"/>
  <c r="J342" i="4"/>
  <c r="M342" i="4"/>
  <c r="I342" i="4"/>
  <c r="K344" i="4"/>
  <c r="N344" i="4"/>
  <c r="J344" i="4"/>
  <c r="M344" i="4"/>
  <c r="I344" i="4"/>
  <c r="K346" i="4"/>
  <c r="N346" i="4"/>
  <c r="J346" i="4"/>
  <c r="M346" i="4"/>
  <c r="I346" i="4"/>
  <c r="K348" i="4"/>
  <c r="N348" i="4"/>
  <c r="J348" i="4"/>
  <c r="M348" i="4"/>
  <c r="I348" i="4"/>
  <c r="K350" i="4"/>
  <c r="N350" i="4"/>
  <c r="J350" i="4"/>
  <c r="M350" i="4"/>
  <c r="I350" i="4"/>
  <c r="K352" i="4"/>
  <c r="N352" i="4"/>
  <c r="J352" i="4"/>
  <c r="M352" i="4"/>
  <c r="I352" i="4"/>
  <c r="K354" i="4"/>
  <c r="N354" i="4"/>
  <c r="J354" i="4"/>
  <c r="M354" i="4"/>
  <c r="I354" i="4"/>
  <c r="K356" i="4"/>
  <c r="N356" i="4"/>
  <c r="J356" i="4"/>
  <c r="M356" i="4"/>
  <c r="I356" i="4"/>
  <c r="K358" i="4"/>
  <c r="N358" i="4"/>
  <c r="J358" i="4"/>
  <c r="M358" i="4"/>
  <c r="I358" i="4"/>
  <c r="K360" i="4"/>
  <c r="N360" i="4"/>
  <c r="J360" i="4"/>
  <c r="M360" i="4"/>
  <c r="I360" i="4"/>
  <c r="K362" i="4"/>
  <c r="N362" i="4"/>
  <c r="J362" i="4"/>
  <c r="M362" i="4"/>
  <c r="I362" i="4"/>
  <c r="K364" i="4"/>
  <c r="N364" i="4"/>
  <c r="J364" i="4"/>
  <c r="M364" i="4"/>
  <c r="I364" i="4"/>
  <c r="K366" i="4"/>
  <c r="N366" i="4"/>
  <c r="J366" i="4"/>
  <c r="M366" i="4"/>
  <c r="I366" i="4"/>
  <c r="K368" i="4"/>
  <c r="N368" i="4"/>
  <c r="J368" i="4"/>
  <c r="M368" i="4"/>
  <c r="I368" i="4"/>
  <c r="K370" i="4"/>
  <c r="N370" i="4"/>
  <c r="J370" i="4"/>
  <c r="M370" i="4"/>
  <c r="I370" i="4"/>
  <c r="K372" i="4"/>
  <c r="N372" i="4"/>
  <c r="J372" i="4"/>
  <c r="M372" i="4"/>
  <c r="I372" i="4"/>
  <c r="K374" i="4"/>
  <c r="N374" i="4"/>
  <c r="J374" i="4"/>
  <c r="M374" i="4"/>
  <c r="I374" i="4"/>
  <c r="K376" i="4"/>
  <c r="N376" i="4"/>
  <c r="J376" i="4"/>
  <c r="M376" i="4"/>
  <c r="I376" i="4"/>
  <c r="K378" i="4"/>
  <c r="N378" i="4"/>
  <c r="J378" i="4"/>
  <c r="M378" i="4"/>
  <c r="I378" i="4"/>
  <c r="K380" i="4"/>
  <c r="N380" i="4"/>
  <c r="J380" i="4"/>
  <c r="M380" i="4"/>
  <c r="I380" i="4"/>
  <c r="K382" i="4"/>
  <c r="N382" i="4"/>
  <c r="J382" i="4"/>
  <c r="M382" i="4"/>
  <c r="I382" i="4"/>
  <c r="K384" i="4"/>
  <c r="N384" i="4"/>
  <c r="J384" i="4"/>
  <c r="M384" i="4"/>
  <c r="I384" i="4"/>
  <c r="K386" i="4"/>
  <c r="N386" i="4"/>
  <c r="J386" i="4"/>
  <c r="M386" i="4"/>
  <c r="I386" i="4"/>
  <c r="K388" i="4"/>
  <c r="N388" i="4"/>
  <c r="J388" i="4"/>
  <c r="M388" i="4"/>
  <c r="I388" i="4"/>
  <c r="K390" i="4"/>
  <c r="N390" i="4"/>
  <c r="J390" i="4"/>
  <c r="M390" i="4"/>
  <c r="I390" i="4"/>
  <c r="K392" i="4"/>
  <c r="N392" i="4"/>
  <c r="J392" i="4"/>
  <c r="M392" i="4"/>
  <c r="I392" i="4"/>
  <c r="K394" i="4"/>
  <c r="N394" i="4"/>
  <c r="J394" i="4"/>
  <c r="M394" i="4"/>
  <c r="I394" i="4"/>
  <c r="K396" i="4"/>
  <c r="N396" i="4"/>
  <c r="J396" i="4"/>
  <c r="M396" i="4"/>
  <c r="I396" i="4"/>
  <c r="K398" i="4"/>
  <c r="N398" i="4"/>
  <c r="J398" i="4"/>
  <c r="M398" i="4"/>
  <c r="I398" i="4"/>
  <c r="K400" i="4"/>
  <c r="N400" i="4"/>
  <c r="J400" i="4"/>
  <c r="M400" i="4"/>
  <c r="I400" i="4"/>
  <c r="K402" i="4"/>
  <c r="N402" i="4"/>
  <c r="J402" i="4"/>
  <c r="M402" i="4"/>
  <c r="I402" i="4"/>
  <c r="K404" i="4"/>
  <c r="N404" i="4"/>
  <c r="J404" i="4"/>
  <c r="M404" i="4"/>
  <c r="I404" i="4"/>
  <c r="K406" i="4"/>
  <c r="N406" i="4"/>
  <c r="J406" i="4"/>
  <c r="M406" i="4"/>
  <c r="I406" i="4"/>
  <c r="K408" i="4"/>
  <c r="N408" i="4"/>
  <c r="J408" i="4"/>
  <c r="M408" i="4"/>
  <c r="I408" i="4"/>
  <c r="K410" i="4"/>
  <c r="N410" i="4"/>
  <c r="J410" i="4"/>
  <c r="M410" i="4"/>
  <c r="I410" i="4"/>
  <c r="K412" i="4"/>
  <c r="N412" i="4"/>
  <c r="J412" i="4"/>
  <c r="M412" i="4"/>
  <c r="I412" i="4"/>
  <c r="K414" i="4"/>
  <c r="N414" i="4"/>
  <c r="J414" i="4"/>
  <c r="M414" i="4"/>
  <c r="I414" i="4"/>
  <c r="K416" i="4"/>
  <c r="N416" i="4"/>
  <c r="J416" i="4"/>
  <c r="M416" i="4"/>
  <c r="I416" i="4"/>
  <c r="K418" i="4"/>
  <c r="N418" i="4"/>
  <c r="J418" i="4"/>
  <c r="M418" i="4"/>
  <c r="I418" i="4"/>
  <c r="I95" i="4"/>
  <c r="M95" i="4"/>
  <c r="F96" i="4"/>
  <c r="I97" i="4"/>
  <c r="M97" i="4"/>
  <c r="F98" i="4"/>
  <c r="I99" i="4"/>
  <c r="M99" i="4"/>
  <c r="F100" i="4"/>
  <c r="I101" i="4"/>
  <c r="M101" i="4"/>
  <c r="F102" i="4"/>
  <c r="I103" i="4"/>
  <c r="M103" i="4"/>
  <c r="F104" i="4"/>
  <c r="I105" i="4"/>
  <c r="M105" i="4"/>
  <c r="F106" i="4"/>
  <c r="I107" i="4"/>
  <c r="M107" i="4"/>
  <c r="F108" i="4"/>
  <c r="I109" i="4"/>
  <c r="M109" i="4"/>
  <c r="F110" i="4"/>
  <c r="I111" i="4"/>
  <c r="M111" i="4"/>
  <c r="F112" i="4"/>
  <c r="I113" i="4"/>
  <c r="M113" i="4"/>
  <c r="F114" i="4"/>
  <c r="I115" i="4"/>
  <c r="M115" i="4"/>
  <c r="F116" i="4"/>
  <c r="I117" i="4"/>
  <c r="M117" i="4"/>
  <c r="F118" i="4"/>
  <c r="I119" i="4"/>
  <c r="M119" i="4"/>
  <c r="F120" i="4"/>
  <c r="I121" i="4"/>
  <c r="M121" i="4"/>
  <c r="F122" i="4"/>
  <c r="I123" i="4"/>
  <c r="M123" i="4"/>
  <c r="F124" i="4"/>
  <c r="I125" i="4"/>
  <c r="M125" i="4"/>
  <c r="F126" i="4"/>
  <c r="I127" i="4"/>
  <c r="M127" i="4"/>
  <c r="F128" i="4"/>
  <c r="I129" i="4"/>
  <c r="M129" i="4"/>
  <c r="F130" i="4"/>
  <c r="I131" i="4"/>
  <c r="M131" i="4"/>
  <c r="F132" i="4"/>
  <c r="I133" i="4"/>
  <c r="M133" i="4"/>
  <c r="F134" i="4"/>
  <c r="I135" i="4"/>
  <c r="M135" i="4"/>
  <c r="F136" i="4"/>
  <c r="I137" i="4"/>
  <c r="M137" i="4"/>
  <c r="F138" i="4"/>
  <c r="I139" i="4"/>
  <c r="M139" i="4"/>
  <c r="F140" i="4"/>
  <c r="I141" i="4"/>
  <c r="M141" i="4"/>
  <c r="F142" i="4"/>
  <c r="I143" i="4"/>
  <c r="M143" i="4"/>
  <c r="F144" i="4"/>
  <c r="I145" i="4"/>
  <c r="M145" i="4"/>
  <c r="F146" i="4"/>
  <c r="I147" i="4"/>
  <c r="M147" i="4"/>
  <c r="F148" i="4"/>
  <c r="I149" i="4"/>
  <c r="M149" i="4"/>
  <c r="F150" i="4"/>
  <c r="I151" i="4"/>
  <c r="M151" i="4"/>
  <c r="F152" i="4"/>
  <c r="I153" i="4"/>
  <c r="M153" i="4"/>
  <c r="F154" i="4"/>
  <c r="I155" i="4"/>
  <c r="M155" i="4"/>
  <c r="F156" i="4"/>
  <c r="I157" i="4"/>
  <c r="M157" i="4"/>
  <c r="F158" i="4"/>
  <c r="I159" i="4"/>
  <c r="M159" i="4"/>
  <c r="F160" i="4"/>
  <c r="I161" i="4"/>
  <c r="M161" i="4"/>
  <c r="F162" i="4"/>
  <c r="I163" i="4"/>
  <c r="M163" i="4"/>
  <c r="F164" i="4"/>
  <c r="I165" i="4"/>
  <c r="M165" i="4"/>
  <c r="F166" i="4"/>
  <c r="I167" i="4"/>
  <c r="M167" i="4"/>
  <c r="F168" i="4"/>
  <c r="I169" i="4"/>
  <c r="M169" i="4"/>
  <c r="F170" i="4"/>
  <c r="I171" i="4"/>
  <c r="M171" i="4"/>
  <c r="F172" i="4"/>
  <c r="I173" i="4"/>
  <c r="M173" i="4"/>
  <c r="F174" i="4"/>
  <c r="I175" i="4"/>
  <c r="M175" i="4"/>
  <c r="F176" i="4"/>
  <c r="I177" i="4"/>
  <c r="M177" i="4"/>
  <c r="F178" i="4"/>
  <c r="I179" i="4"/>
  <c r="M179" i="4"/>
  <c r="F180" i="4"/>
  <c r="I181" i="4"/>
  <c r="M181" i="4"/>
  <c r="F182" i="4"/>
  <c r="I183" i="4"/>
  <c r="M183" i="4"/>
  <c r="F184" i="4"/>
  <c r="I185" i="4"/>
  <c r="M185" i="4"/>
  <c r="F186" i="4"/>
  <c r="I187" i="4"/>
  <c r="M187" i="4"/>
  <c r="F188" i="4"/>
  <c r="I189" i="4"/>
  <c r="M189" i="4"/>
  <c r="F190" i="4"/>
  <c r="I191" i="4"/>
  <c r="M191" i="4"/>
  <c r="F192" i="4"/>
  <c r="I193" i="4"/>
  <c r="M193" i="4"/>
  <c r="F194" i="4"/>
  <c r="I195" i="4"/>
  <c r="M195" i="4"/>
  <c r="F196" i="4"/>
  <c r="I197" i="4"/>
  <c r="M197" i="4"/>
  <c r="F198" i="4"/>
  <c r="I199" i="4"/>
  <c r="M199" i="4"/>
  <c r="F200" i="4"/>
  <c r="I201" i="4"/>
  <c r="M201" i="4"/>
  <c r="F202" i="4"/>
  <c r="I203" i="4"/>
  <c r="M203" i="4"/>
  <c r="F204" i="4"/>
  <c r="I205" i="4"/>
  <c r="M205" i="4"/>
  <c r="F206" i="4"/>
  <c r="I207" i="4"/>
  <c r="M207" i="4"/>
  <c r="F208" i="4"/>
  <c r="I209" i="4"/>
  <c r="M209" i="4"/>
  <c r="F210" i="4"/>
  <c r="I211" i="4"/>
  <c r="M211" i="4"/>
  <c r="F212" i="4"/>
  <c r="I213" i="4"/>
  <c r="M213" i="4"/>
  <c r="F214" i="4"/>
  <c r="I215" i="4"/>
  <c r="M215" i="4"/>
  <c r="F216" i="4"/>
  <c r="I217" i="4"/>
  <c r="M217" i="4"/>
  <c r="F218" i="4"/>
  <c r="I219" i="4"/>
  <c r="M219" i="4"/>
  <c r="F220" i="4"/>
  <c r="I221" i="4"/>
  <c r="M221" i="4"/>
  <c r="F222" i="4"/>
  <c r="I223" i="4"/>
  <c r="M223" i="4"/>
  <c r="F224" i="4"/>
  <c r="I225" i="4"/>
  <c r="M225" i="4"/>
  <c r="F226" i="4"/>
  <c r="I227" i="4"/>
  <c r="M227" i="4"/>
  <c r="F228" i="4"/>
  <c r="I229" i="4"/>
  <c r="M229" i="4"/>
  <c r="F230" i="4"/>
  <c r="I231" i="4"/>
  <c r="M231" i="4"/>
  <c r="F232" i="4"/>
  <c r="I233" i="4"/>
  <c r="M233" i="4"/>
  <c r="F235" i="4"/>
  <c r="I238" i="4"/>
  <c r="N240" i="4"/>
  <c r="J240" i="4"/>
  <c r="M240" i="4"/>
  <c r="F243" i="4"/>
  <c r="I246" i="4"/>
  <c r="N248" i="4"/>
  <c r="J248" i="4"/>
  <c r="M248" i="4"/>
  <c r="F251" i="4"/>
  <c r="I254" i="4"/>
  <c r="N256" i="4"/>
  <c r="J256" i="4"/>
  <c r="M256" i="4"/>
  <c r="F259" i="4"/>
  <c r="N262" i="4"/>
  <c r="J262" i="4"/>
  <c r="M262" i="4"/>
  <c r="I262" i="4"/>
  <c r="K263" i="4"/>
  <c r="F263" i="4"/>
  <c r="K268" i="4"/>
  <c r="N270" i="4"/>
  <c r="J270" i="4"/>
  <c r="M270" i="4"/>
  <c r="I270" i="4"/>
  <c r="K271" i="4"/>
  <c r="F271" i="4"/>
  <c r="K276" i="4"/>
  <c r="N278" i="4"/>
  <c r="J278" i="4"/>
  <c r="M278" i="4"/>
  <c r="I278" i="4"/>
  <c r="K279" i="4"/>
  <c r="F279" i="4"/>
  <c r="K284" i="4"/>
  <c r="N286" i="4"/>
  <c r="J286" i="4"/>
  <c r="M286" i="4"/>
  <c r="I286" i="4"/>
  <c r="K287" i="4"/>
  <c r="F287" i="4"/>
  <c r="K292" i="4"/>
  <c r="N294" i="4"/>
  <c r="J294" i="4"/>
  <c r="M294" i="4"/>
  <c r="I294" i="4"/>
  <c r="K295" i="4"/>
  <c r="F295" i="4"/>
  <c r="K300" i="4"/>
  <c r="N302" i="4"/>
  <c r="J302" i="4"/>
  <c r="M302" i="4"/>
  <c r="I302" i="4"/>
  <c r="K303" i="4"/>
  <c r="F303" i="4"/>
  <c r="K308" i="4"/>
  <c r="N310" i="4"/>
  <c r="J310" i="4"/>
  <c r="M310" i="4"/>
  <c r="I310" i="4"/>
  <c r="K311" i="4"/>
  <c r="F311" i="4"/>
  <c r="L316" i="4"/>
  <c r="L318" i="4"/>
  <c r="L320" i="4"/>
  <c r="L322" i="4"/>
  <c r="L324" i="4"/>
  <c r="L326" i="4"/>
  <c r="L328" i="4"/>
  <c r="L330" i="4"/>
  <c r="L332" i="4"/>
  <c r="L334" i="4"/>
  <c r="L336" i="4"/>
  <c r="L338" i="4"/>
  <c r="L340" i="4"/>
  <c r="L342" i="4"/>
  <c r="L344" i="4"/>
  <c r="L346" i="4"/>
  <c r="L348" i="4"/>
  <c r="L350" i="4"/>
  <c r="L352" i="4"/>
  <c r="L354" i="4"/>
  <c r="L356" i="4"/>
  <c r="L358" i="4"/>
  <c r="L360" i="4"/>
  <c r="L362" i="4"/>
  <c r="L364" i="4"/>
  <c r="L366" i="4"/>
  <c r="K485" i="4"/>
  <c r="F485" i="4"/>
  <c r="K493" i="4"/>
  <c r="F493" i="4"/>
  <c r="J95" i="4"/>
  <c r="J97" i="4"/>
  <c r="J99" i="4"/>
  <c r="J101" i="4"/>
  <c r="J103" i="4"/>
  <c r="J105" i="4"/>
  <c r="J107" i="4"/>
  <c r="J109" i="4"/>
  <c r="J111" i="4"/>
  <c r="J113" i="4"/>
  <c r="J115" i="4"/>
  <c r="J117" i="4"/>
  <c r="J119" i="4"/>
  <c r="J121" i="4"/>
  <c r="J123" i="4"/>
  <c r="J125" i="4"/>
  <c r="J127" i="4"/>
  <c r="J129" i="4"/>
  <c r="J131" i="4"/>
  <c r="J133" i="4"/>
  <c r="J135" i="4"/>
  <c r="J137" i="4"/>
  <c r="J139" i="4"/>
  <c r="J141" i="4"/>
  <c r="J143" i="4"/>
  <c r="J145" i="4"/>
  <c r="J147" i="4"/>
  <c r="J149" i="4"/>
  <c r="J151" i="4"/>
  <c r="J153" i="4"/>
  <c r="J155" i="4"/>
  <c r="J157" i="4"/>
  <c r="J159" i="4"/>
  <c r="J161" i="4"/>
  <c r="J163" i="4"/>
  <c r="J165" i="4"/>
  <c r="J167" i="4"/>
  <c r="J169" i="4"/>
  <c r="J171" i="4"/>
  <c r="J173" i="4"/>
  <c r="J175" i="4"/>
  <c r="J177" i="4"/>
  <c r="J179" i="4"/>
  <c r="J181" i="4"/>
  <c r="J183" i="4"/>
  <c r="J185" i="4"/>
  <c r="J187" i="4"/>
  <c r="J189" i="4"/>
  <c r="J191" i="4"/>
  <c r="J193" i="4"/>
  <c r="J195" i="4"/>
  <c r="J197" i="4"/>
  <c r="J199" i="4"/>
  <c r="J201" i="4"/>
  <c r="J203" i="4"/>
  <c r="J205" i="4"/>
  <c r="J207" i="4"/>
  <c r="J209" i="4"/>
  <c r="J211" i="4"/>
  <c r="J213" i="4"/>
  <c r="J215" i="4"/>
  <c r="J217" i="4"/>
  <c r="J219" i="4"/>
  <c r="J221" i="4"/>
  <c r="J223" i="4"/>
  <c r="J225" i="4"/>
  <c r="J227" i="4"/>
  <c r="J229" i="4"/>
  <c r="J231" i="4"/>
  <c r="J233" i="4"/>
  <c r="N234" i="4"/>
  <c r="J234" i="4"/>
  <c r="M234" i="4"/>
  <c r="F237" i="4"/>
  <c r="K238" i="4"/>
  <c r="I240" i="4"/>
  <c r="N242" i="4"/>
  <c r="J242" i="4"/>
  <c r="M242" i="4"/>
  <c r="F245" i="4"/>
  <c r="K246" i="4"/>
  <c r="I248" i="4"/>
  <c r="N250" i="4"/>
  <c r="J250" i="4"/>
  <c r="M250" i="4"/>
  <c r="F253" i="4"/>
  <c r="K254" i="4"/>
  <c r="I256" i="4"/>
  <c r="N258" i="4"/>
  <c r="J258" i="4"/>
  <c r="M258" i="4"/>
  <c r="K262" i="4"/>
  <c r="N264" i="4"/>
  <c r="J264" i="4"/>
  <c r="M264" i="4"/>
  <c r="I264" i="4"/>
  <c r="K265" i="4"/>
  <c r="F265" i="4"/>
  <c r="L268" i="4"/>
  <c r="K270" i="4"/>
  <c r="N272" i="4"/>
  <c r="J272" i="4"/>
  <c r="M272" i="4"/>
  <c r="I272" i="4"/>
  <c r="K273" i="4"/>
  <c r="F273" i="4"/>
  <c r="L276" i="4"/>
  <c r="K278" i="4"/>
  <c r="N280" i="4"/>
  <c r="J280" i="4"/>
  <c r="M280" i="4"/>
  <c r="I280" i="4"/>
  <c r="K281" i="4"/>
  <c r="F281" i="4"/>
  <c r="L284" i="4"/>
  <c r="K286" i="4"/>
  <c r="N288" i="4"/>
  <c r="J288" i="4"/>
  <c r="M288" i="4"/>
  <c r="I288" i="4"/>
  <c r="K289" i="4"/>
  <c r="F289" i="4"/>
  <c r="L292" i="4"/>
  <c r="K294" i="4"/>
  <c r="N296" i="4"/>
  <c r="J296" i="4"/>
  <c r="M296" i="4"/>
  <c r="I296" i="4"/>
  <c r="K297" i="4"/>
  <c r="F297" i="4"/>
  <c r="L300" i="4"/>
  <c r="K302" i="4"/>
  <c r="N304" i="4"/>
  <c r="J304" i="4"/>
  <c r="M304" i="4"/>
  <c r="I304" i="4"/>
  <c r="K305" i="4"/>
  <c r="F305" i="4"/>
  <c r="L308" i="4"/>
  <c r="K310" i="4"/>
  <c r="N312" i="4"/>
  <c r="J312" i="4"/>
  <c r="M312" i="4"/>
  <c r="I312" i="4"/>
  <c r="K313" i="4"/>
  <c r="F313" i="4"/>
  <c r="K420" i="4"/>
  <c r="K422" i="4"/>
  <c r="K424" i="4"/>
  <c r="K426" i="4"/>
  <c r="K428" i="4"/>
  <c r="K430" i="4"/>
  <c r="K432" i="4"/>
  <c r="K434" i="4"/>
  <c r="K436" i="4"/>
  <c r="K438" i="4"/>
  <c r="K440" i="4"/>
  <c r="K442" i="4"/>
  <c r="K444" i="4"/>
  <c r="K446" i="4"/>
  <c r="N454" i="4"/>
  <c r="J454" i="4"/>
  <c r="M454" i="4"/>
  <c r="I454" i="4"/>
  <c r="N462" i="4"/>
  <c r="J462" i="4"/>
  <c r="M462" i="4"/>
  <c r="I462" i="4"/>
  <c r="N470" i="4"/>
  <c r="J470" i="4"/>
  <c r="M470" i="4"/>
  <c r="I470" i="4"/>
  <c r="N478" i="4"/>
  <c r="J478" i="4"/>
  <c r="M478" i="4"/>
  <c r="I478" i="4"/>
  <c r="N486" i="4"/>
  <c r="J486" i="4"/>
  <c r="M486" i="4"/>
  <c r="I486" i="4"/>
  <c r="K487" i="4"/>
  <c r="F487" i="4"/>
  <c r="N494" i="4"/>
  <c r="J494" i="4"/>
  <c r="M494" i="4"/>
  <c r="I494" i="4"/>
  <c r="K495" i="4"/>
  <c r="F495" i="4"/>
  <c r="N611" i="4"/>
  <c r="J611" i="4"/>
  <c r="M611" i="4"/>
  <c r="I611" i="4"/>
  <c r="L611" i="4"/>
  <c r="K611" i="4"/>
  <c r="K691" i="4"/>
  <c r="F691" i="4"/>
  <c r="K419" i="4"/>
  <c r="M419" i="4"/>
  <c r="K421" i="4"/>
  <c r="M421" i="4"/>
  <c r="K423" i="4"/>
  <c r="M423" i="4"/>
  <c r="K425" i="4"/>
  <c r="M425" i="4"/>
  <c r="K427" i="4"/>
  <c r="M427" i="4"/>
  <c r="K429" i="4"/>
  <c r="M429" i="4"/>
  <c r="K431" i="4"/>
  <c r="M431" i="4"/>
  <c r="K433" i="4"/>
  <c r="M433" i="4"/>
  <c r="K435" i="4"/>
  <c r="M435" i="4"/>
  <c r="K437" i="4"/>
  <c r="M437" i="4"/>
  <c r="K439" i="4"/>
  <c r="M439" i="4"/>
  <c r="K441" i="4"/>
  <c r="M441" i="4"/>
  <c r="K443" i="4"/>
  <c r="M443" i="4"/>
  <c r="K445" i="4"/>
  <c r="M445" i="4"/>
  <c r="L447" i="4"/>
  <c r="K447" i="4"/>
  <c r="N447" i="4"/>
  <c r="N448" i="4"/>
  <c r="J448" i="4"/>
  <c r="M448" i="4"/>
  <c r="I448" i="4"/>
  <c r="K454" i="4"/>
  <c r="N456" i="4"/>
  <c r="J456" i="4"/>
  <c r="M456" i="4"/>
  <c r="I456" i="4"/>
  <c r="K462" i="4"/>
  <c r="N464" i="4"/>
  <c r="J464" i="4"/>
  <c r="M464" i="4"/>
  <c r="I464" i="4"/>
  <c r="K470" i="4"/>
  <c r="N472" i="4"/>
  <c r="J472" i="4"/>
  <c r="M472" i="4"/>
  <c r="I472" i="4"/>
  <c r="K478" i="4"/>
  <c r="N480" i="4"/>
  <c r="J480" i="4"/>
  <c r="M480" i="4"/>
  <c r="I480" i="4"/>
  <c r="K481" i="4"/>
  <c r="F481" i="4"/>
  <c r="K486" i="4"/>
  <c r="N488" i="4"/>
  <c r="J488" i="4"/>
  <c r="M488" i="4"/>
  <c r="I488" i="4"/>
  <c r="K489" i="4"/>
  <c r="F489" i="4"/>
  <c r="K494" i="4"/>
  <c r="N496" i="4"/>
  <c r="J496" i="4"/>
  <c r="M496" i="4"/>
  <c r="I496" i="4"/>
  <c r="L496" i="4"/>
  <c r="N603" i="4"/>
  <c r="J603" i="4"/>
  <c r="M603" i="4"/>
  <c r="I603" i="4"/>
  <c r="L603" i="4"/>
  <c r="K603" i="4"/>
  <c r="M420" i="4"/>
  <c r="I420" i="4"/>
  <c r="N420" i="4"/>
  <c r="M422" i="4"/>
  <c r="I422" i="4"/>
  <c r="N422" i="4"/>
  <c r="M424" i="4"/>
  <c r="I424" i="4"/>
  <c r="N424" i="4"/>
  <c r="M426" i="4"/>
  <c r="I426" i="4"/>
  <c r="N426" i="4"/>
  <c r="M428" i="4"/>
  <c r="I428" i="4"/>
  <c r="N428" i="4"/>
  <c r="M430" i="4"/>
  <c r="I430" i="4"/>
  <c r="N430" i="4"/>
  <c r="M432" i="4"/>
  <c r="I432" i="4"/>
  <c r="N432" i="4"/>
  <c r="M434" i="4"/>
  <c r="I434" i="4"/>
  <c r="N434" i="4"/>
  <c r="M436" i="4"/>
  <c r="I436" i="4"/>
  <c r="N436" i="4"/>
  <c r="M438" i="4"/>
  <c r="I438" i="4"/>
  <c r="N438" i="4"/>
  <c r="M440" i="4"/>
  <c r="I440" i="4"/>
  <c r="N440" i="4"/>
  <c r="M442" i="4"/>
  <c r="I442" i="4"/>
  <c r="N442" i="4"/>
  <c r="M444" i="4"/>
  <c r="I444" i="4"/>
  <c r="N444" i="4"/>
  <c r="M446" i="4"/>
  <c r="I446" i="4"/>
  <c r="N446" i="4"/>
  <c r="N450" i="4"/>
  <c r="J450" i="4"/>
  <c r="M450" i="4"/>
  <c r="I450" i="4"/>
  <c r="L454" i="4"/>
  <c r="N458" i="4"/>
  <c r="J458" i="4"/>
  <c r="M458" i="4"/>
  <c r="I458" i="4"/>
  <c r="L462" i="4"/>
  <c r="N466" i="4"/>
  <c r="J466" i="4"/>
  <c r="M466" i="4"/>
  <c r="I466" i="4"/>
  <c r="L470" i="4"/>
  <c r="N474" i="4"/>
  <c r="J474" i="4"/>
  <c r="M474" i="4"/>
  <c r="I474" i="4"/>
  <c r="L478" i="4"/>
  <c r="N482" i="4"/>
  <c r="J482" i="4"/>
  <c r="M482" i="4"/>
  <c r="I482" i="4"/>
  <c r="K483" i="4"/>
  <c r="F483" i="4"/>
  <c r="L486" i="4"/>
  <c r="N490" i="4"/>
  <c r="J490" i="4"/>
  <c r="M490" i="4"/>
  <c r="I490" i="4"/>
  <c r="K491" i="4"/>
  <c r="F491" i="4"/>
  <c r="L494" i="4"/>
  <c r="N595" i="4"/>
  <c r="J595" i="4"/>
  <c r="M595" i="4"/>
  <c r="I595" i="4"/>
  <c r="L595" i="4"/>
  <c r="K595" i="4"/>
  <c r="L498" i="4"/>
  <c r="L500" i="4"/>
  <c r="L502" i="4"/>
  <c r="L504" i="4"/>
  <c r="L506" i="4"/>
  <c r="L508" i="4"/>
  <c r="L510" i="4"/>
  <c r="L512" i="4"/>
  <c r="L514" i="4"/>
  <c r="L516" i="4"/>
  <c r="L518" i="4"/>
  <c r="L520" i="4"/>
  <c r="L522" i="4"/>
  <c r="L524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N597" i="4"/>
  <c r="J597" i="4"/>
  <c r="M597" i="4"/>
  <c r="I597" i="4"/>
  <c r="N605" i="4"/>
  <c r="J605" i="4"/>
  <c r="M605" i="4"/>
  <c r="I605" i="4"/>
  <c r="N613" i="4"/>
  <c r="J613" i="4"/>
  <c r="M613" i="4"/>
  <c r="I613" i="4"/>
  <c r="K705" i="4"/>
  <c r="F705" i="4"/>
  <c r="N720" i="4"/>
  <c r="J720" i="4"/>
  <c r="M720" i="4"/>
  <c r="I720" i="4"/>
  <c r="L720" i="4"/>
  <c r="K720" i="4"/>
  <c r="K734" i="4"/>
  <c r="N734" i="4"/>
  <c r="J734" i="4"/>
  <c r="M734" i="4"/>
  <c r="I734" i="4"/>
  <c r="L734" i="4"/>
  <c r="K742" i="4"/>
  <c r="N742" i="4"/>
  <c r="J742" i="4"/>
  <c r="M742" i="4"/>
  <c r="I742" i="4"/>
  <c r="L742" i="4"/>
  <c r="K750" i="4"/>
  <c r="N750" i="4"/>
  <c r="J750" i="4"/>
  <c r="M750" i="4"/>
  <c r="I750" i="4"/>
  <c r="L750" i="4"/>
  <c r="K758" i="4"/>
  <c r="N758" i="4"/>
  <c r="J758" i="4"/>
  <c r="M758" i="4"/>
  <c r="I758" i="4"/>
  <c r="L758" i="4"/>
  <c r="K766" i="4"/>
  <c r="N766" i="4"/>
  <c r="J766" i="4"/>
  <c r="M766" i="4"/>
  <c r="I766" i="4"/>
  <c r="L766" i="4"/>
  <c r="K774" i="4"/>
  <c r="N774" i="4"/>
  <c r="J774" i="4"/>
  <c r="M774" i="4"/>
  <c r="I774" i="4"/>
  <c r="L774" i="4"/>
  <c r="N790" i="4"/>
  <c r="J790" i="4"/>
  <c r="L790" i="4"/>
  <c r="K790" i="4"/>
  <c r="I790" i="4"/>
  <c r="M790" i="4"/>
  <c r="K449" i="4"/>
  <c r="K451" i="4"/>
  <c r="K453" i="4"/>
  <c r="K455" i="4"/>
  <c r="K457" i="4"/>
  <c r="K459" i="4"/>
  <c r="K461" i="4"/>
  <c r="K463" i="4"/>
  <c r="K465" i="4"/>
  <c r="K467" i="4"/>
  <c r="K469" i="4"/>
  <c r="K471" i="4"/>
  <c r="K473" i="4"/>
  <c r="K475" i="4"/>
  <c r="K477" i="4"/>
  <c r="K479" i="4"/>
  <c r="F497" i="4"/>
  <c r="I498" i="4"/>
  <c r="M498" i="4"/>
  <c r="F499" i="4"/>
  <c r="I500" i="4"/>
  <c r="M500" i="4"/>
  <c r="F501" i="4"/>
  <c r="I502" i="4"/>
  <c r="M502" i="4"/>
  <c r="F503" i="4"/>
  <c r="I504" i="4"/>
  <c r="M504" i="4"/>
  <c r="F505" i="4"/>
  <c r="I506" i="4"/>
  <c r="M506" i="4"/>
  <c r="F507" i="4"/>
  <c r="I508" i="4"/>
  <c r="M508" i="4"/>
  <c r="F509" i="4"/>
  <c r="I510" i="4"/>
  <c r="M510" i="4"/>
  <c r="F511" i="4"/>
  <c r="I512" i="4"/>
  <c r="M512" i="4"/>
  <c r="F513" i="4"/>
  <c r="I514" i="4"/>
  <c r="M514" i="4"/>
  <c r="F515" i="4"/>
  <c r="I516" i="4"/>
  <c r="M516" i="4"/>
  <c r="F517" i="4"/>
  <c r="I518" i="4"/>
  <c r="M518" i="4"/>
  <c r="F519" i="4"/>
  <c r="I520" i="4"/>
  <c r="M520" i="4"/>
  <c r="F521" i="4"/>
  <c r="I522" i="4"/>
  <c r="M522" i="4"/>
  <c r="F523" i="4"/>
  <c r="I524" i="4"/>
  <c r="M524" i="4"/>
  <c r="F525" i="4"/>
  <c r="I526" i="4"/>
  <c r="M526" i="4"/>
  <c r="F527" i="4"/>
  <c r="I528" i="4"/>
  <c r="M528" i="4"/>
  <c r="F529" i="4"/>
  <c r="I530" i="4"/>
  <c r="M530" i="4"/>
  <c r="F531" i="4"/>
  <c r="I532" i="4"/>
  <c r="M532" i="4"/>
  <c r="F533" i="4"/>
  <c r="I534" i="4"/>
  <c r="M534" i="4"/>
  <c r="F535" i="4"/>
  <c r="I536" i="4"/>
  <c r="M536" i="4"/>
  <c r="F537" i="4"/>
  <c r="I538" i="4"/>
  <c r="M538" i="4"/>
  <c r="F539" i="4"/>
  <c r="I540" i="4"/>
  <c r="M540" i="4"/>
  <c r="F541" i="4"/>
  <c r="I542" i="4"/>
  <c r="M542" i="4"/>
  <c r="F543" i="4"/>
  <c r="I544" i="4"/>
  <c r="M544" i="4"/>
  <c r="F545" i="4"/>
  <c r="I546" i="4"/>
  <c r="M546" i="4"/>
  <c r="F547" i="4"/>
  <c r="I548" i="4"/>
  <c r="M548" i="4"/>
  <c r="F549" i="4"/>
  <c r="I550" i="4"/>
  <c r="M550" i="4"/>
  <c r="F551" i="4"/>
  <c r="I552" i="4"/>
  <c r="M552" i="4"/>
  <c r="F553" i="4"/>
  <c r="I554" i="4"/>
  <c r="M554" i="4"/>
  <c r="F555" i="4"/>
  <c r="I556" i="4"/>
  <c r="M556" i="4"/>
  <c r="F557" i="4"/>
  <c r="I558" i="4"/>
  <c r="M558" i="4"/>
  <c r="F559" i="4"/>
  <c r="I560" i="4"/>
  <c r="M560" i="4"/>
  <c r="K562" i="4"/>
  <c r="M562" i="4"/>
  <c r="K564" i="4"/>
  <c r="M564" i="4"/>
  <c r="K566" i="4"/>
  <c r="M566" i="4"/>
  <c r="K568" i="4"/>
  <c r="M568" i="4"/>
  <c r="K570" i="4"/>
  <c r="M570" i="4"/>
  <c r="K572" i="4"/>
  <c r="M572" i="4"/>
  <c r="K574" i="4"/>
  <c r="M574" i="4"/>
  <c r="K576" i="4"/>
  <c r="M576" i="4"/>
  <c r="K578" i="4"/>
  <c r="M578" i="4"/>
  <c r="K580" i="4"/>
  <c r="M580" i="4"/>
  <c r="K582" i="4"/>
  <c r="M582" i="4"/>
  <c r="K584" i="4"/>
  <c r="M584" i="4"/>
  <c r="K586" i="4"/>
  <c r="M586" i="4"/>
  <c r="K588" i="4"/>
  <c r="M588" i="4"/>
  <c r="K590" i="4"/>
  <c r="M590" i="4"/>
  <c r="K592" i="4"/>
  <c r="M592" i="4"/>
  <c r="K597" i="4"/>
  <c r="N599" i="4"/>
  <c r="J599" i="4"/>
  <c r="M599" i="4"/>
  <c r="I599" i="4"/>
  <c r="K605" i="4"/>
  <c r="N607" i="4"/>
  <c r="J607" i="4"/>
  <c r="M607" i="4"/>
  <c r="I607" i="4"/>
  <c r="K613" i="4"/>
  <c r="N694" i="4"/>
  <c r="J694" i="4"/>
  <c r="L694" i="4"/>
  <c r="K694" i="4"/>
  <c r="I694" i="4"/>
  <c r="N712" i="4"/>
  <c r="J712" i="4"/>
  <c r="M712" i="4"/>
  <c r="I712" i="4"/>
  <c r="L712" i="4"/>
  <c r="K712" i="4"/>
  <c r="K732" i="4"/>
  <c r="N732" i="4"/>
  <c r="J732" i="4"/>
  <c r="M732" i="4"/>
  <c r="I732" i="4"/>
  <c r="L732" i="4"/>
  <c r="K740" i="4"/>
  <c r="N740" i="4"/>
  <c r="J740" i="4"/>
  <c r="M740" i="4"/>
  <c r="I740" i="4"/>
  <c r="L740" i="4"/>
  <c r="K748" i="4"/>
  <c r="N748" i="4"/>
  <c r="J748" i="4"/>
  <c r="M748" i="4"/>
  <c r="I748" i="4"/>
  <c r="L748" i="4"/>
  <c r="K756" i="4"/>
  <c r="N756" i="4"/>
  <c r="J756" i="4"/>
  <c r="M756" i="4"/>
  <c r="I756" i="4"/>
  <c r="L756" i="4"/>
  <c r="K764" i="4"/>
  <c r="N764" i="4"/>
  <c r="J764" i="4"/>
  <c r="M764" i="4"/>
  <c r="I764" i="4"/>
  <c r="L764" i="4"/>
  <c r="K772" i="4"/>
  <c r="N772" i="4"/>
  <c r="J772" i="4"/>
  <c r="M772" i="4"/>
  <c r="I772" i="4"/>
  <c r="L772" i="4"/>
  <c r="J498" i="4"/>
  <c r="J500" i="4"/>
  <c r="J502" i="4"/>
  <c r="J504" i="4"/>
  <c r="J506" i="4"/>
  <c r="J508" i="4"/>
  <c r="J510" i="4"/>
  <c r="J512" i="4"/>
  <c r="J514" i="4"/>
  <c r="J516" i="4"/>
  <c r="J518" i="4"/>
  <c r="J520" i="4"/>
  <c r="J522" i="4"/>
  <c r="J524" i="4"/>
  <c r="J526" i="4"/>
  <c r="J528" i="4"/>
  <c r="J530" i="4"/>
  <c r="J532" i="4"/>
  <c r="J534" i="4"/>
  <c r="J536" i="4"/>
  <c r="J538" i="4"/>
  <c r="J540" i="4"/>
  <c r="J542" i="4"/>
  <c r="J544" i="4"/>
  <c r="J546" i="4"/>
  <c r="J548" i="4"/>
  <c r="J550" i="4"/>
  <c r="J552" i="4"/>
  <c r="J554" i="4"/>
  <c r="J556" i="4"/>
  <c r="J558" i="4"/>
  <c r="J560" i="4"/>
  <c r="M561" i="4"/>
  <c r="I561" i="4"/>
  <c r="N561" i="4"/>
  <c r="I562" i="4"/>
  <c r="N562" i="4"/>
  <c r="M563" i="4"/>
  <c r="I563" i="4"/>
  <c r="N563" i="4"/>
  <c r="I564" i="4"/>
  <c r="N564" i="4"/>
  <c r="M565" i="4"/>
  <c r="I565" i="4"/>
  <c r="N565" i="4"/>
  <c r="I566" i="4"/>
  <c r="N566" i="4"/>
  <c r="M567" i="4"/>
  <c r="I567" i="4"/>
  <c r="N567" i="4"/>
  <c r="I568" i="4"/>
  <c r="N568" i="4"/>
  <c r="M569" i="4"/>
  <c r="I569" i="4"/>
  <c r="N569" i="4"/>
  <c r="I570" i="4"/>
  <c r="N570" i="4"/>
  <c r="M571" i="4"/>
  <c r="I571" i="4"/>
  <c r="N571" i="4"/>
  <c r="I572" i="4"/>
  <c r="N572" i="4"/>
  <c r="M573" i="4"/>
  <c r="I573" i="4"/>
  <c r="N573" i="4"/>
  <c r="I574" i="4"/>
  <c r="N574" i="4"/>
  <c r="M575" i="4"/>
  <c r="I575" i="4"/>
  <c r="N575" i="4"/>
  <c r="I576" i="4"/>
  <c r="N576" i="4"/>
  <c r="M577" i="4"/>
  <c r="I577" i="4"/>
  <c r="N577" i="4"/>
  <c r="I578" i="4"/>
  <c r="N578" i="4"/>
  <c r="M579" i="4"/>
  <c r="I579" i="4"/>
  <c r="N579" i="4"/>
  <c r="I580" i="4"/>
  <c r="N580" i="4"/>
  <c r="M581" i="4"/>
  <c r="I581" i="4"/>
  <c r="N581" i="4"/>
  <c r="I582" i="4"/>
  <c r="N582" i="4"/>
  <c r="M583" i="4"/>
  <c r="I583" i="4"/>
  <c r="N583" i="4"/>
  <c r="I584" i="4"/>
  <c r="N584" i="4"/>
  <c r="M585" i="4"/>
  <c r="I585" i="4"/>
  <c r="N585" i="4"/>
  <c r="I586" i="4"/>
  <c r="N586" i="4"/>
  <c r="M587" i="4"/>
  <c r="I587" i="4"/>
  <c r="N587" i="4"/>
  <c r="I588" i="4"/>
  <c r="N588" i="4"/>
  <c r="M589" i="4"/>
  <c r="I589" i="4"/>
  <c r="N589" i="4"/>
  <c r="I590" i="4"/>
  <c r="N590" i="4"/>
  <c r="M591" i="4"/>
  <c r="I591" i="4"/>
  <c r="N591" i="4"/>
  <c r="I592" i="4"/>
  <c r="N592" i="4"/>
  <c r="N593" i="4"/>
  <c r="J593" i="4"/>
  <c r="M593" i="4"/>
  <c r="I593" i="4"/>
  <c r="L597" i="4"/>
  <c r="K599" i="4"/>
  <c r="N601" i="4"/>
  <c r="J601" i="4"/>
  <c r="M601" i="4"/>
  <c r="I601" i="4"/>
  <c r="L605" i="4"/>
  <c r="K607" i="4"/>
  <c r="N609" i="4"/>
  <c r="J609" i="4"/>
  <c r="M609" i="4"/>
  <c r="I609" i="4"/>
  <c r="L613" i="4"/>
  <c r="M694" i="4"/>
  <c r="N704" i="4"/>
  <c r="J704" i="4"/>
  <c r="M704" i="4"/>
  <c r="I704" i="4"/>
  <c r="L704" i="4"/>
  <c r="K704" i="4"/>
  <c r="K721" i="4"/>
  <c r="F721" i="4"/>
  <c r="K730" i="4"/>
  <c r="N730" i="4"/>
  <c r="J730" i="4"/>
  <c r="M730" i="4"/>
  <c r="I730" i="4"/>
  <c r="L730" i="4"/>
  <c r="K738" i="4"/>
  <c r="N738" i="4"/>
  <c r="J738" i="4"/>
  <c r="M738" i="4"/>
  <c r="I738" i="4"/>
  <c r="L738" i="4"/>
  <c r="K746" i="4"/>
  <c r="N746" i="4"/>
  <c r="J746" i="4"/>
  <c r="M746" i="4"/>
  <c r="I746" i="4"/>
  <c r="L746" i="4"/>
  <c r="K754" i="4"/>
  <c r="N754" i="4"/>
  <c r="J754" i="4"/>
  <c r="M754" i="4"/>
  <c r="I754" i="4"/>
  <c r="L754" i="4"/>
  <c r="K762" i="4"/>
  <c r="N762" i="4"/>
  <c r="J762" i="4"/>
  <c r="M762" i="4"/>
  <c r="I762" i="4"/>
  <c r="L762" i="4"/>
  <c r="K770" i="4"/>
  <c r="N770" i="4"/>
  <c r="J770" i="4"/>
  <c r="M770" i="4"/>
  <c r="I770" i="4"/>
  <c r="L770" i="4"/>
  <c r="K778" i="4"/>
  <c r="N778" i="4"/>
  <c r="J778" i="4"/>
  <c r="M778" i="4"/>
  <c r="I778" i="4"/>
  <c r="L778" i="4"/>
  <c r="L615" i="4"/>
  <c r="L617" i="4"/>
  <c r="L619" i="4"/>
  <c r="L621" i="4"/>
  <c r="L623" i="4"/>
  <c r="L625" i="4"/>
  <c r="L627" i="4"/>
  <c r="L629" i="4"/>
  <c r="L631" i="4"/>
  <c r="L633" i="4"/>
  <c r="L635" i="4"/>
  <c r="L637" i="4"/>
  <c r="L639" i="4"/>
  <c r="L641" i="4"/>
  <c r="L643" i="4"/>
  <c r="L645" i="4"/>
  <c r="L647" i="4"/>
  <c r="L649" i="4"/>
  <c r="L651" i="4"/>
  <c r="L653" i="4"/>
  <c r="L655" i="4"/>
  <c r="L657" i="4"/>
  <c r="L659" i="4"/>
  <c r="L661" i="4"/>
  <c r="L663" i="4"/>
  <c r="L665" i="4"/>
  <c r="L667" i="4"/>
  <c r="L669" i="4"/>
  <c r="L671" i="4"/>
  <c r="L673" i="4"/>
  <c r="L675" i="4"/>
  <c r="L677" i="4"/>
  <c r="L679" i="4"/>
  <c r="L681" i="4"/>
  <c r="L683" i="4"/>
  <c r="L685" i="4"/>
  <c r="L687" i="4"/>
  <c r="N696" i="4"/>
  <c r="J696" i="4"/>
  <c r="M696" i="4"/>
  <c r="N706" i="4"/>
  <c r="J706" i="4"/>
  <c r="M706" i="4"/>
  <c r="I706" i="4"/>
  <c r="K707" i="4"/>
  <c r="F707" i="4"/>
  <c r="N714" i="4"/>
  <c r="J714" i="4"/>
  <c r="M714" i="4"/>
  <c r="I714" i="4"/>
  <c r="K715" i="4"/>
  <c r="F715" i="4"/>
  <c r="N722" i="4"/>
  <c r="J722" i="4"/>
  <c r="M722" i="4"/>
  <c r="I722" i="4"/>
  <c r="K723" i="4"/>
  <c r="F723" i="4"/>
  <c r="N782" i="4"/>
  <c r="J782" i="4"/>
  <c r="L782" i="4"/>
  <c r="K782" i="4"/>
  <c r="I782" i="4"/>
  <c r="N792" i="4"/>
  <c r="J792" i="4"/>
  <c r="M792" i="4"/>
  <c r="I792" i="4"/>
  <c r="L792" i="4"/>
  <c r="K792" i="4"/>
  <c r="N800" i="4"/>
  <c r="J800" i="4"/>
  <c r="M800" i="4"/>
  <c r="I800" i="4"/>
  <c r="L800" i="4"/>
  <c r="K800" i="4"/>
  <c r="N808" i="4"/>
  <c r="J808" i="4"/>
  <c r="M808" i="4"/>
  <c r="I808" i="4"/>
  <c r="L808" i="4"/>
  <c r="K808" i="4"/>
  <c r="N816" i="4"/>
  <c r="J816" i="4"/>
  <c r="M816" i="4"/>
  <c r="I816" i="4"/>
  <c r="L816" i="4"/>
  <c r="K816" i="4"/>
  <c r="N881" i="4"/>
  <c r="J881" i="4"/>
  <c r="L881" i="4"/>
  <c r="K881" i="4"/>
  <c r="I881" i="4"/>
  <c r="M881" i="4"/>
  <c r="K594" i="4"/>
  <c r="K596" i="4"/>
  <c r="K598" i="4"/>
  <c r="K600" i="4"/>
  <c r="K602" i="4"/>
  <c r="K604" i="4"/>
  <c r="K606" i="4"/>
  <c r="K608" i="4"/>
  <c r="K610" i="4"/>
  <c r="K612" i="4"/>
  <c r="K614" i="4"/>
  <c r="I615" i="4"/>
  <c r="M615" i="4"/>
  <c r="K616" i="4"/>
  <c r="I617" i="4"/>
  <c r="M617" i="4"/>
  <c r="K618" i="4"/>
  <c r="I619" i="4"/>
  <c r="M619" i="4"/>
  <c r="K620" i="4"/>
  <c r="I621" i="4"/>
  <c r="M621" i="4"/>
  <c r="K622" i="4"/>
  <c r="I623" i="4"/>
  <c r="M623" i="4"/>
  <c r="K624" i="4"/>
  <c r="I625" i="4"/>
  <c r="M625" i="4"/>
  <c r="K626" i="4"/>
  <c r="I627" i="4"/>
  <c r="M627" i="4"/>
  <c r="K628" i="4"/>
  <c r="I629" i="4"/>
  <c r="M629" i="4"/>
  <c r="K630" i="4"/>
  <c r="I631" i="4"/>
  <c r="M631" i="4"/>
  <c r="K632" i="4"/>
  <c r="I633" i="4"/>
  <c r="M633" i="4"/>
  <c r="K634" i="4"/>
  <c r="I635" i="4"/>
  <c r="M635" i="4"/>
  <c r="K636" i="4"/>
  <c r="I637" i="4"/>
  <c r="M637" i="4"/>
  <c r="K638" i="4"/>
  <c r="I639" i="4"/>
  <c r="M639" i="4"/>
  <c r="K640" i="4"/>
  <c r="I641" i="4"/>
  <c r="M641" i="4"/>
  <c r="K642" i="4"/>
  <c r="I643" i="4"/>
  <c r="M643" i="4"/>
  <c r="K644" i="4"/>
  <c r="I645" i="4"/>
  <c r="M645" i="4"/>
  <c r="K646" i="4"/>
  <c r="I647" i="4"/>
  <c r="M647" i="4"/>
  <c r="K648" i="4"/>
  <c r="I649" i="4"/>
  <c r="M649" i="4"/>
  <c r="K650" i="4"/>
  <c r="I651" i="4"/>
  <c r="M651" i="4"/>
  <c r="K652" i="4"/>
  <c r="I653" i="4"/>
  <c r="M653" i="4"/>
  <c r="K654" i="4"/>
  <c r="I655" i="4"/>
  <c r="M655" i="4"/>
  <c r="K656" i="4"/>
  <c r="I657" i="4"/>
  <c r="M657" i="4"/>
  <c r="K658" i="4"/>
  <c r="I659" i="4"/>
  <c r="M659" i="4"/>
  <c r="K660" i="4"/>
  <c r="I661" i="4"/>
  <c r="M661" i="4"/>
  <c r="K662" i="4"/>
  <c r="I663" i="4"/>
  <c r="M663" i="4"/>
  <c r="K664" i="4"/>
  <c r="I665" i="4"/>
  <c r="M665" i="4"/>
  <c r="K666" i="4"/>
  <c r="I667" i="4"/>
  <c r="M667" i="4"/>
  <c r="K668" i="4"/>
  <c r="I669" i="4"/>
  <c r="M669" i="4"/>
  <c r="K670" i="4"/>
  <c r="I671" i="4"/>
  <c r="M671" i="4"/>
  <c r="K672" i="4"/>
  <c r="I673" i="4"/>
  <c r="M673" i="4"/>
  <c r="K674" i="4"/>
  <c r="I675" i="4"/>
  <c r="M675" i="4"/>
  <c r="K676" i="4"/>
  <c r="I677" i="4"/>
  <c r="M677" i="4"/>
  <c r="K678" i="4"/>
  <c r="I679" i="4"/>
  <c r="M679" i="4"/>
  <c r="K680" i="4"/>
  <c r="I681" i="4"/>
  <c r="M681" i="4"/>
  <c r="K682" i="4"/>
  <c r="I683" i="4"/>
  <c r="M683" i="4"/>
  <c r="K684" i="4"/>
  <c r="I685" i="4"/>
  <c r="M685" i="4"/>
  <c r="K686" i="4"/>
  <c r="I687" i="4"/>
  <c r="M687" i="4"/>
  <c r="K688" i="4"/>
  <c r="N690" i="4"/>
  <c r="J690" i="4"/>
  <c r="M690" i="4"/>
  <c r="F693" i="4"/>
  <c r="I696" i="4"/>
  <c r="N698" i="4"/>
  <c r="J698" i="4"/>
  <c r="M698" i="4"/>
  <c r="F701" i="4"/>
  <c r="K706" i="4"/>
  <c r="N708" i="4"/>
  <c r="J708" i="4"/>
  <c r="M708" i="4"/>
  <c r="I708" i="4"/>
  <c r="K709" i="4"/>
  <c r="F709" i="4"/>
  <c r="K714" i="4"/>
  <c r="N716" i="4"/>
  <c r="J716" i="4"/>
  <c r="M716" i="4"/>
  <c r="I716" i="4"/>
  <c r="K717" i="4"/>
  <c r="F717" i="4"/>
  <c r="K722" i="4"/>
  <c r="N724" i="4"/>
  <c r="J724" i="4"/>
  <c r="M724" i="4"/>
  <c r="I724" i="4"/>
  <c r="K725" i="4"/>
  <c r="F725" i="4"/>
  <c r="M782" i="4"/>
  <c r="K787" i="4"/>
  <c r="F787" i="4"/>
  <c r="J615" i="4"/>
  <c r="J617" i="4"/>
  <c r="J619" i="4"/>
  <c r="J621" i="4"/>
  <c r="J623" i="4"/>
  <c r="J625" i="4"/>
  <c r="J627" i="4"/>
  <c r="J629" i="4"/>
  <c r="J631" i="4"/>
  <c r="J633" i="4"/>
  <c r="J635" i="4"/>
  <c r="J637" i="4"/>
  <c r="J639" i="4"/>
  <c r="J641" i="4"/>
  <c r="J643" i="4"/>
  <c r="J645" i="4"/>
  <c r="J647" i="4"/>
  <c r="J649" i="4"/>
  <c r="J651" i="4"/>
  <c r="J653" i="4"/>
  <c r="J655" i="4"/>
  <c r="J657" i="4"/>
  <c r="J659" i="4"/>
  <c r="J661" i="4"/>
  <c r="J663" i="4"/>
  <c r="J665" i="4"/>
  <c r="J667" i="4"/>
  <c r="J669" i="4"/>
  <c r="J671" i="4"/>
  <c r="J673" i="4"/>
  <c r="J675" i="4"/>
  <c r="J677" i="4"/>
  <c r="J679" i="4"/>
  <c r="J681" i="4"/>
  <c r="J683" i="4"/>
  <c r="J685" i="4"/>
  <c r="J687" i="4"/>
  <c r="N692" i="4"/>
  <c r="J692" i="4"/>
  <c r="M692" i="4"/>
  <c r="F695" i="4"/>
  <c r="K696" i="4"/>
  <c r="I698" i="4"/>
  <c r="N700" i="4"/>
  <c r="J700" i="4"/>
  <c r="M700" i="4"/>
  <c r="N702" i="4"/>
  <c r="J702" i="4"/>
  <c r="M702" i="4"/>
  <c r="I702" i="4"/>
  <c r="K703" i="4"/>
  <c r="F703" i="4"/>
  <c r="L706" i="4"/>
  <c r="K708" i="4"/>
  <c r="N710" i="4"/>
  <c r="J710" i="4"/>
  <c r="M710" i="4"/>
  <c r="I710" i="4"/>
  <c r="K711" i="4"/>
  <c r="F711" i="4"/>
  <c r="L714" i="4"/>
  <c r="K716" i="4"/>
  <c r="N718" i="4"/>
  <c r="J718" i="4"/>
  <c r="M718" i="4"/>
  <c r="I718" i="4"/>
  <c r="K719" i="4"/>
  <c r="F719" i="4"/>
  <c r="L722" i="4"/>
  <c r="K724" i="4"/>
  <c r="N726" i="4"/>
  <c r="J726" i="4"/>
  <c r="M726" i="4"/>
  <c r="I726" i="4"/>
  <c r="K727" i="4"/>
  <c r="F727" i="4"/>
  <c r="K729" i="4"/>
  <c r="F729" i="4"/>
  <c r="K731" i="4"/>
  <c r="F731" i="4"/>
  <c r="K733" i="4"/>
  <c r="F733" i="4"/>
  <c r="K735" i="4"/>
  <c r="F735" i="4"/>
  <c r="K737" i="4"/>
  <c r="F737" i="4"/>
  <c r="K739" i="4"/>
  <c r="F739" i="4"/>
  <c r="K741" i="4"/>
  <c r="F741" i="4"/>
  <c r="K743" i="4"/>
  <c r="F743" i="4"/>
  <c r="K745" i="4"/>
  <c r="F745" i="4"/>
  <c r="K747" i="4"/>
  <c r="F747" i="4"/>
  <c r="K749" i="4"/>
  <c r="F749" i="4"/>
  <c r="K751" i="4"/>
  <c r="F751" i="4"/>
  <c r="K753" i="4"/>
  <c r="F753" i="4"/>
  <c r="K755" i="4"/>
  <c r="F755" i="4"/>
  <c r="K757" i="4"/>
  <c r="F757" i="4"/>
  <c r="K759" i="4"/>
  <c r="F759" i="4"/>
  <c r="K761" i="4"/>
  <c r="F761" i="4"/>
  <c r="K763" i="4"/>
  <c r="F763" i="4"/>
  <c r="K765" i="4"/>
  <c r="F765" i="4"/>
  <c r="K767" i="4"/>
  <c r="F767" i="4"/>
  <c r="K769" i="4"/>
  <c r="F769" i="4"/>
  <c r="K771" i="4"/>
  <c r="F771" i="4"/>
  <c r="K773" i="4"/>
  <c r="F773" i="4"/>
  <c r="K775" i="4"/>
  <c r="F775" i="4"/>
  <c r="K777" i="4"/>
  <c r="F777" i="4"/>
  <c r="K779" i="4"/>
  <c r="F779" i="4"/>
  <c r="K793" i="4"/>
  <c r="F793" i="4"/>
  <c r="K801" i="4"/>
  <c r="F801" i="4"/>
  <c r="K809" i="4"/>
  <c r="F809" i="4"/>
  <c r="K817" i="4"/>
  <c r="F817" i="4"/>
  <c r="N784" i="4"/>
  <c r="J784" i="4"/>
  <c r="M784" i="4"/>
  <c r="N794" i="4"/>
  <c r="J794" i="4"/>
  <c r="M794" i="4"/>
  <c r="I794" i="4"/>
  <c r="K795" i="4"/>
  <c r="F795" i="4"/>
  <c r="N802" i="4"/>
  <c r="J802" i="4"/>
  <c r="M802" i="4"/>
  <c r="I802" i="4"/>
  <c r="K803" i="4"/>
  <c r="F803" i="4"/>
  <c r="N810" i="4"/>
  <c r="J810" i="4"/>
  <c r="M810" i="4"/>
  <c r="I810" i="4"/>
  <c r="K811" i="4"/>
  <c r="F811" i="4"/>
  <c r="N818" i="4"/>
  <c r="J818" i="4"/>
  <c r="M818" i="4"/>
  <c r="I818" i="4"/>
  <c r="K819" i="4"/>
  <c r="F819" i="4"/>
  <c r="K878" i="4"/>
  <c r="F878" i="4"/>
  <c r="F781" i="4"/>
  <c r="I784" i="4"/>
  <c r="N786" i="4"/>
  <c r="J786" i="4"/>
  <c r="M786" i="4"/>
  <c r="F789" i="4"/>
  <c r="K794" i="4"/>
  <c r="N796" i="4"/>
  <c r="J796" i="4"/>
  <c r="M796" i="4"/>
  <c r="I796" i="4"/>
  <c r="K797" i="4"/>
  <c r="F797" i="4"/>
  <c r="K802" i="4"/>
  <c r="N804" i="4"/>
  <c r="J804" i="4"/>
  <c r="M804" i="4"/>
  <c r="I804" i="4"/>
  <c r="K805" i="4"/>
  <c r="F805" i="4"/>
  <c r="K810" i="4"/>
  <c r="N812" i="4"/>
  <c r="J812" i="4"/>
  <c r="M812" i="4"/>
  <c r="I812" i="4"/>
  <c r="K813" i="4"/>
  <c r="F813" i="4"/>
  <c r="K818" i="4"/>
  <c r="N780" i="4"/>
  <c r="J780" i="4"/>
  <c r="M780" i="4"/>
  <c r="K784" i="4"/>
  <c r="N788" i="4"/>
  <c r="J788" i="4"/>
  <c r="M788" i="4"/>
  <c r="L794" i="4"/>
  <c r="N798" i="4"/>
  <c r="J798" i="4"/>
  <c r="M798" i="4"/>
  <c r="I798" i="4"/>
  <c r="K799" i="4"/>
  <c r="F799" i="4"/>
  <c r="L802" i="4"/>
  <c r="N806" i="4"/>
  <c r="J806" i="4"/>
  <c r="M806" i="4"/>
  <c r="I806" i="4"/>
  <c r="K807" i="4"/>
  <c r="F807" i="4"/>
  <c r="L810" i="4"/>
  <c r="N814" i="4"/>
  <c r="J814" i="4"/>
  <c r="M814" i="4"/>
  <c r="I814" i="4"/>
  <c r="K815" i="4"/>
  <c r="F815" i="4"/>
  <c r="L818" i="4"/>
  <c r="N873" i="4"/>
  <c r="J873" i="4"/>
  <c r="L873" i="4"/>
  <c r="K873" i="4"/>
  <c r="I873" i="4"/>
  <c r="L820" i="4"/>
  <c r="L822" i="4"/>
  <c r="L824" i="4"/>
  <c r="L826" i="4"/>
  <c r="L828" i="4"/>
  <c r="L830" i="4"/>
  <c r="L832" i="4"/>
  <c r="L834" i="4"/>
  <c r="L836" i="4"/>
  <c r="L838" i="4"/>
  <c r="L840" i="4"/>
  <c r="L842" i="4"/>
  <c r="L844" i="4"/>
  <c r="L846" i="4"/>
  <c r="L848" i="4"/>
  <c r="L850" i="4"/>
  <c r="L852" i="4"/>
  <c r="L854" i="4"/>
  <c r="L856" i="4"/>
  <c r="L858" i="4"/>
  <c r="L860" i="4"/>
  <c r="L862" i="4"/>
  <c r="L864" i="4"/>
  <c r="L866" i="4"/>
  <c r="L868" i="4"/>
  <c r="L870" i="4"/>
  <c r="K871" i="4"/>
  <c r="N875" i="4"/>
  <c r="J875" i="4"/>
  <c r="M875" i="4"/>
  <c r="N883" i="4"/>
  <c r="J883" i="4"/>
  <c r="M883" i="4"/>
  <c r="K905" i="4"/>
  <c r="L905" i="4"/>
  <c r="J905" i="4"/>
  <c r="N905" i="4"/>
  <c r="I905" i="4"/>
  <c r="K909" i="4"/>
  <c r="L909" i="4"/>
  <c r="J909" i="4"/>
  <c r="N909" i="4"/>
  <c r="I909" i="4"/>
  <c r="K913" i="4"/>
  <c r="L913" i="4"/>
  <c r="J913" i="4"/>
  <c r="N913" i="4"/>
  <c r="I913" i="4"/>
  <c r="K917" i="4"/>
  <c r="L917" i="4"/>
  <c r="J917" i="4"/>
  <c r="N917" i="4"/>
  <c r="I917" i="4"/>
  <c r="M921" i="4"/>
  <c r="I921" i="4"/>
  <c r="K921" i="4"/>
  <c r="N921" i="4"/>
  <c r="L921" i="4"/>
  <c r="J921" i="4"/>
  <c r="M929" i="4"/>
  <c r="I929" i="4"/>
  <c r="K929" i="4"/>
  <c r="N929" i="4"/>
  <c r="L929" i="4"/>
  <c r="J929" i="4"/>
  <c r="M941" i="4"/>
  <c r="I941" i="4"/>
  <c r="L941" i="4"/>
  <c r="K941" i="4"/>
  <c r="J941" i="4"/>
  <c r="N941" i="4"/>
  <c r="M949" i="4"/>
  <c r="I949" i="4"/>
  <c r="L949" i="4"/>
  <c r="K949" i="4"/>
  <c r="J949" i="4"/>
  <c r="N949" i="4"/>
  <c r="I820" i="4"/>
  <c r="M820" i="4"/>
  <c r="F821" i="4"/>
  <c r="I822" i="4"/>
  <c r="M822" i="4"/>
  <c r="F823" i="4"/>
  <c r="I824" i="4"/>
  <c r="M824" i="4"/>
  <c r="F825" i="4"/>
  <c r="I826" i="4"/>
  <c r="M826" i="4"/>
  <c r="F827" i="4"/>
  <c r="I828" i="4"/>
  <c r="M828" i="4"/>
  <c r="F829" i="4"/>
  <c r="I830" i="4"/>
  <c r="M830" i="4"/>
  <c r="F831" i="4"/>
  <c r="I832" i="4"/>
  <c r="M832" i="4"/>
  <c r="F833" i="4"/>
  <c r="I834" i="4"/>
  <c r="M834" i="4"/>
  <c r="F835" i="4"/>
  <c r="I836" i="4"/>
  <c r="M836" i="4"/>
  <c r="F837" i="4"/>
  <c r="I838" i="4"/>
  <c r="M838" i="4"/>
  <c r="F839" i="4"/>
  <c r="I840" i="4"/>
  <c r="M840" i="4"/>
  <c r="F841" i="4"/>
  <c r="I842" i="4"/>
  <c r="M842" i="4"/>
  <c r="F843" i="4"/>
  <c r="I844" i="4"/>
  <c r="M844" i="4"/>
  <c r="F845" i="4"/>
  <c r="I846" i="4"/>
  <c r="M846" i="4"/>
  <c r="F847" i="4"/>
  <c r="I848" i="4"/>
  <c r="M848" i="4"/>
  <c r="F849" i="4"/>
  <c r="I850" i="4"/>
  <c r="M850" i="4"/>
  <c r="F851" i="4"/>
  <c r="I852" i="4"/>
  <c r="M852" i="4"/>
  <c r="F853" i="4"/>
  <c r="I854" i="4"/>
  <c r="M854" i="4"/>
  <c r="F855" i="4"/>
  <c r="I856" i="4"/>
  <c r="M856" i="4"/>
  <c r="F857" i="4"/>
  <c r="I858" i="4"/>
  <c r="M858" i="4"/>
  <c r="F859" i="4"/>
  <c r="I860" i="4"/>
  <c r="M860" i="4"/>
  <c r="F861" i="4"/>
  <c r="I862" i="4"/>
  <c r="M862" i="4"/>
  <c r="F863" i="4"/>
  <c r="I864" i="4"/>
  <c r="M864" i="4"/>
  <c r="F865" i="4"/>
  <c r="I866" i="4"/>
  <c r="M866" i="4"/>
  <c r="F867" i="4"/>
  <c r="I868" i="4"/>
  <c r="M868" i="4"/>
  <c r="F869" i="4"/>
  <c r="I870" i="4"/>
  <c r="M870" i="4"/>
  <c r="F872" i="4"/>
  <c r="I875" i="4"/>
  <c r="N877" i="4"/>
  <c r="J877" i="4"/>
  <c r="M877" i="4"/>
  <c r="F880" i="4"/>
  <c r="I883" i="4"/>
  <c r="M927" i="4"/>
  <c r="I927" i="4"/>
  <c r="K927" i="4"/>
  <c r="N927" i="4"/>
  <c r="L927" i="4"/>
  <c r="J927" i="4"/>
  <c r="M935" i="4"/>
  <c r="I935" i="4"/>
  <c r="K935" i="4"/>
  <c r="N935" i="4"/>
  <c r="L935" i="4"/>
  <c r="J935" i="4"/>
  <c r="J820" i="4"/>
  <c r="J822" i="4"/>
  <c r="J824" i="4"/>
  <c r="J826" i="4"/>
  <c r="J828" i="4"/>
  <c r="J830" i="4"/>
  <c r="J832" i="4"/>
  <c r="J834" i="4"/>
  <c r="J836" i="4"/>
  <c r="J838" i="4"/>
  <c r="J840" i="4"/>
  <c r="J842" i="4"/>
  <c r="J844" i="4"/>
  <c r="J846" i="4"/>
  <c r="J848" i="4"/>
  <c r="J850" i="4"/>
  <c r="J852" i="4"/>
  <c r="J854" i="4"/>
  <c r="J856" i="4"/>
  <c r="J858" i="4"/>
  <c r="J860" i="4"/>
  <c r="J862" i="4"/>
  <c r="J864" i="4"/>
  <c r="J866" i="4"/>
  <c r="J868" i="4"/>
  <c r="J870" i="4"/>
  <c r="N871" i="4"/>
  <c r="J871" i="4"/>
  <c r="M871" i="4"/>
  <c r="F874" i="4"/>
  <c r="K875" i="4"/>
  <c r="I877" i="4"/>
  <c r="N879" i="4"/>
  <c r="J879" i="4"/>
  <c r="M879" i="4"/>
  <c r="F882" i="4"/>
  <c r="K883" i="4"/>
  <c r="K907" i="4"/>
  <c r="L907" i="4"/>
  <c r="J907" i="4"/>
  <c r="N907" i="4"/>
  <c r="I907" i="4"/>
  <c r="K911" i="4"/>
  <c r="L911" i="4"/>
  <c r="J911" i="4"/>
  <c r="N911" i="4"/>
  <c r="I911" i="4"/>
  <c r="K915" i="4"/>
  <c r="L915" i="4"/>
  <c r="J915" i="4"/>
  <c r="N915" i="4"/>
  <c r="I915" i="4"/>
  <c r="K919" i="4"/>
  <c r="L919" i="4"/>
  <c r="J919" i="4"/>
  <c r="N919" i="4"/>
  <c r="I919" i="4"/>
  <c r="M925" i="4"/>
  <c r="I925" i="4"/>
  <c r="K925" i="4"/>
  <c r="N925" i="4"/>
  <c r="L925" i="4"/>
  <c r="J925" i="4"/>
  <c r="M933" i="4"/>
  <c r="I933" i="4"/>
  <c r="K933" i="4"/>
  <c r="N933" i="4"/>
  <c r="L933" i="4"/>
  <c r="J933" i="4"/>
  <c r="M937" i="4"/>
  <c r="I937" i="4"/>
  <c r="L937" i="4"/>
  <c r="K937" i="4"/>
  <c r="J937" i="4"/>
  <c r="N937" i="4"/>
  <c r="M945" i="4"/>
  <c r="I945" i="4"/>
  <c r="L945" i="4"/>
  <c r="K945" i="4"/>
  <c r="J945" i="4"/>
  <c r="N945" i="4"/>
  <c r="L885" i="4"/>
  <c r="L887" i="4"/>
  <c r="L889" i="4"/>
  <c r="L891" i="4"/>
  <c r="L893" i="4"/>
  <c r="L895" i="4"/>
  <c r="L897" i="4"/>
  <c r="L899" i="4"/>
  <c r="L901" i="4"/>
  <c r="L903" i="4"/>
  <c r="M906" i="4"/>
  <c r="I906" i="4"/>
  <c r="N906" i="4"/>
  <c r="M908" i="4"/>
  <c r="I908" i="4"/>
  <c r="N908" i="4"/>
  <c r="M910" i="4"/>
  <c r="I910" i="4"/>
  <c r="N910" i="4"/>
  <c r="M912" i="4"/>
  <c r="I912" i="4"/>
  <c r="N912" i="4"/>
  <c r="M914" i="4"/>
  <c r="I914" i="4"/>
  <c r="N914" i="4"/>
  <c r="M916" i="4"/>
  <c r="I916" i="4"/>
  <c r="N916" i="4"/>
  <c r="M918" i="4"/>
  <c r="I918" i="4"/>
  <c r="N918" i="4"/>
  <c r="M920" i="4"/>
  <c r="I920" i="4"/>
  <c r="N920" i="4"/>
  <c r="N990" i="4"/>
  <c r="J990" i="4"/>
  <c r="K990" i="4"/>
  <c r="M990" i="4"/>
  <c r="L990" i="4"/>
  <c r="I990" i="4"/>
  <c r="K922" i="4"/>
  <c r="M922" i="4"/>
  <c r="I922" i="4"/>
  <c r="K924" i="4"/>
  <c r="M924" i="4"/>
  <c r="I924" i="4"/>
  <c r="K926" i="4"/>
  <c r="M926" i="4"/>
  <c r="I926" i="4"/>
  <c r="K928" i="4"/>
  <c r="M928" i="4"/>
  <c r="I928" i="4"/>
  <c r="K930" i="4"/>
  <c r="M930" i="4"/>
  <c r="I930" i="4"/>
  <c r="K932" i="4"/>
  <c r="M932" i="4"/>
  <c r="I932" i="4"/>
  <c r="K934" i="4"/>
  <c r="M934" i="4"/>
  <c r="I934" i="4"/>
  <c r="M939" i="4"/>
  <c r="I939" i="4"/>
  <c r="L939" i="4"/>
  <c r="K939" i="4"/>
  <c r="J939" i="4"/>
  <c r="M943" i="4"/>
  <c r="I943" i="4"/>
  <c r="L943" i="4"/>
  <c r="K943" i="4"/>
  <c r="J943" i="4"/>
  <c r="M947" i="4"/>
  <c r="I947" i="4"/>
  <c r="L947" i="4"/>
  <c r="K947" i="4"/>
  <c r="J947" i="4"/>
  <c r="F981" i="4"/>
  <c r="K981" i="4"/>
  <c r="J885" i="4"/>
  <c r="J887" i="4"/>
  <c r="J889" i="4"/>
  <c r="J891" i="4"/>
  <c r="J893" i="4"/>
  <c r="J895" i="4"/>
  <c r="J897" i="4"/>
  <c r="J899" i="4"/>
  <c r="J901" i="4"/>
  <c r="J903" i="4"/>
  <c r="K906" i="4"/>
  <c r="K908" i="4"/>
  <c r="K910" i="4"/>
  <c r="K912" i="4"/>
  <c r="K914" i="4"/>
  <c r="K916" i="4"/>
  <c r="K918" i="4"/>
  <c r="K920" i="4"/>
  <c r="J922" i="4"/>
  <c r="J924" i="4"/>
  <c r="J926" i="4"/>
  <c r="J928" i="4"/>
  <c r="J930" i="4"/>
  <c r="J932" i="4"/>
  <c r="J934" i="4"/>
  <c r="N939" i="4"/>
  <c r="N943" i="4"/>
  <c r="N947" i="4"/>
  <c r="M973" i="4"/>
  <c r="I973" i="4"/>
  <c r="L973" i="4"/>
  <c r="K973" i="4"/>
  <c r="J973" i="4"/>
  <c r="N973" i="4"/>
  <c r="M965" i="4"/>
  <c r="I965" i="4"/>
  <c r="L965" i="4"/>
  <c r="K965" i="4"/>
  <c r="J965" i="4"/>
  <c r="M971" i="4"/>
  <c r="I971" i="4"/>
  <c r="L971" i="4"/>
  <c r="K971" i="4"/>
  <c r="J971" i="4"/>
  <c r="K997" i="4"/>
  <c r="N998" i="4"/>
  <c r="J998" i="4"/>
  <c r="K998" i="4"/>
  <c r="M998" i="4"/>
  <c r="L998" i="4"/>
  <c r="I998" i="4"/>
  <c r="K951" i="4"/>
  <c r="K952" i="4"/>
  <c r="N952" i="4"/>
  <c r="J952" i="4"/>
  <c r="M969" i="4"/>
  <c r="I969" i="4"/>
  <c r="L969" i="4"/>
  <c r="K969" i="4"/>
  <c r="J969" i="4"/>
  <c r="K936" i="4"/>
  <c r="M936" i="4"/>
  <c r="K938" i="4"/>
  <c r="M938" i="4"/>
  <c r="K940" i="4"/>
  <c r="M940" i="4"/>
  <c r="K942" i="4"/>
  <c r="M942" i="4"/>
  <c r="K944" i="4"/>
  <c r="M944" i="4"/>
  <c r="K946" i="4"/>
  <c r="M946" i="4"/>
  <c r="K948" i="4"/>
  <c r="M948" i="4"/>
  <c r="K950" i="4"/>
  <c r="M950" i="4"/>
  <c r="I952" i="4"/>
  <c r="K954" i="4"/>
  <c r="N954" i="4"/>
  <c r="J954" i="4"/>
  <c r="M963" i="4"/>
  <c r="I963" i="4"/>
  <c r="L963" i="4"/>
  <c r="K963" i="4"/>
  <c r="J963" i="4"/>
  <c r="M967" i="4"/>
  <c r="I967" i="4"/>
  <c r="L967" i="4"/>
  <c r="K967" i="4"/>
  <c r="J967" i="4"/>
  <c r="N969" i="4"/>
  <c r="N982" i="4"/>
  <c r="J982" i="4"/>
  <c r="K982" i="4"/>
  <c r="M982" i="4"/>
  <c r="L982" i="4"/>
  <c r="I982" i="4"/>
  <c r="L951" i="4"/>
  <c r="L953" i="4"/>
  <c r="L955" i="4"/>
  <c r="L957" i="4"/>
  <c r="J958" i="4"/>
  <c r="N958" i="4"/>
  <c r="L959" i="4"/>
  <c r="J960" i="4"/>
  <c r="N960" i="4"/>
  <c r="L961" i="4"/>
  <c r="J962" i="4"/>
  <c r="J964" i="4"/>
  <c r="J966" i="4"/>
  <c r="K975" i="4"/>
  <c r="N976" i="4"/>
  <c r="J976" i="4"/>
  <c r="K976" i="4"/>
  <c r="K983" i="4"/>
  <c r="N984" i="4"/>
  <c r="J984" i="4"/>
  <c r="K984" i="4"/>
  <c r="K991" i="4"/>
  <c r="N992" i="4"/>
  <c r="J992" i="4"/>
  <c r="K992" i="4"/>
  <c r="K999" i="4"/>
  <c r="N1000" i="4"/>
  <c r="J1000" i="4"/>
  <c r="K1000" i="4"/>
  <c r="I951" i="4"/>
  <c r="I953" i="4"/>
  <c r="I955" i="4"/>
  <c r="I957" i="4"/>
  <c r="K958" i="4"/>
  <c r="I959" i="4"/>
  <c r="K960" i="4"/>
  <c r="I961" i="4"/>
  <c r="L962" i="4"/>
  <c r="L964" i="4"/>
  <c r="L966" i="4"/>
  <c r="L968" i="4"/>
  <c r="L970" i="4"/>
  <c r="L972" i="4"/>
  <c r="I976" i="4"/>
  <c r="N978" i="4"/>
  <c r="J978" i="4"/>
  <c r="K978" i="4"/>
  <c r="I984" i="4"/>
  <c r="N986" i="4"/>
  <c r="J986" i="4"/>
  <c r="K986" i="4"/>
  <c r="I992" i="4"/>
  <c r="N994" i="4"/>
  <c r="J994" i="4"/>
  <c r="K994" i="4"/>
  <c r="I1000" i="4"/>
  <c r="N1002" i="4"/>
  <c r="J1002" i="4"/>
  <c r="K1002" i="4"/>
  <c r="M962" i="4"/>
  <c r="M964" i="4"/>
  <c r="M966" i="4"/>
  <c r="M968" i="4"/>
  <c r="M970" i="4"/>
  <c r="M972" i="4"/>
  <c r="N974" i="4"/>
  <c r="K974" i="4"/>
  <c r="M974" i="4"/>
  <c r="L976" i="4"/>
  <c r="N980" i="4"/>
  <c r="J980" i="4"/>
  <c r="K980" i="4"/>
  <c r="L984" i="4"/>
  <c r="N988" i="4"/>
  <c r="J988" i="4"/>
  <c r="K988" i="4"/>
  <c r="L992" i="4"/>
  <c r="N996" i="4"/>
  <c r="J996" i="4"/>
  <c r="K996" i="4"/>
  <c r="L1000" i="4"/>
  <c r="N1004" i="4"/>
  <c r="J1004" i="4"/>
  <c r="M1004" i="4"/>
  <c r="I1004" i="4"/>
  <c r="K1004" i="4"/>
  <c r="I975" i="4"/>
  <c r="M975" i="4"/>
  <c r="I977" i="4"/>
  <c r="M977" i="4"/>
  <c r="I979" i="4"/>
  <c r="M979" i="4"/>
  <c r="I981" i="4"/>
  <c r="M981" i="4"/>
  <c r="I983" i="4"/>
  <c r="M983" i="4"/>
  <c r="I985" i="4"/>
  <c r="M985" i="4"/>
  <c r="I987" i="4"/>
  <c r="M987" i="4"/>
  <c r="I989" i="4"/>
  <c r="M989" i="4"/>
  <c r="I991" i="4"/>
  <c r="M991" i="4"/>
  <c r="I993" i="4"/>
  <c r="M993" i="4"/>
  <c r="I995" i="4"/>
  <c r="M995" i="4"/>
  <c r="I997" i="4"/>
  <c r="M997" i="4"/>
  <c r="I999" i="4"/>
  <c r="M999" i="4"/>
  <c r="I1001" i="4"/>
  <c r="M1001" i="4"/>
  <c r="I1003" i="4"/>
  <c r="M1003" i="4"/>
  <c r="B12" i="6" l="1"/>
  <c r="D32" i="2"/>
  <c r="K16" i="3"/>
  <c r="G32" i="2" s="1"/>
  <c r="H16" i="3"/>
  <c r="E32" i="2" s="1"/>
  <c r="K7" i="3"/>
  <c r="G23" i="2" s="1"/>
  <c r="L7" i="3"/>
  <c r="H23" i="2" s="1"/>
  <c r="L14" i="3"/>
  <c r="H30" i="2" s="1"/>
  <c r="K10" i="3"/>
  <c r="G26" i="2" s="1"/>
  <c r="H14" i="3"/>
  <c r="E30" i="2" s="1"/>
  <c r="K17" i="3"/>
  <c r="K9" i="3"/>
  <c r="K13" i="3"/>
  <c r="G29" i="2" s="1"/>
  <c r="D29" i="2"/>
  <c r="H5" i="3"/>
  <c r="E21" i="2" s="1"/>
  <c r="D21" i="2"/>
  <c r="K5" i="3"/>
  <c r="G21" i="2" s="1"/>
  <c r="D24" i="2"/>
  <c r="H12" i="3"/>
  <c r="E28" i="2" s="1"/>
  <c r="H7" i="3"/>
  <c r="E23" i="2" s="1"/>
  <c r="K8" i="3"/>
  <c r="G24" i="2" s="1"/>
  <c r="K12" i="3"/>
  <c r="G28" i="2" s="1"/>
  <c r="D33" i="2"/>
  <c r="D27" i="2"/>
  <c r="K6" i="3"/>
  <c r="D23" i="2"/>
  <c r="L11" i="3"/>
  <c r="H27" i="2" s="1"/>
  <c r="D26" i="2"/>
  <c r="B7" i="2"/>
  <c r="D25" i="2"/>
  <c r="H10" i="3"/>
  <c r="E26" i="2" s="1"/>
  <c r="H13" i="3"/>
  <c r="E29" i="2" s="1"/>
  <c r="D31" i="2"/>
  <c r="H6" i="3"/>
  <c r="E22" i="2" s="1"/>
  <c r="D22" i="2"/>
  <c r="B9" i="2"/>
  <c r="D30" i="2"/>
  <c r="L15" i="3"/>
  <c r="H31" i="2" s="1"/>
  <c r="J5" i="4"/>
  <c r="N5" i="4" s="1"/>
  <c r="J5" i="3" s="1"/>
  <c r="L5" i="4"/>
  <c r="M5" i="4" s="1"/>
  <c r="G33" i="2" l="1"/>
  <c r="L17" i="3"/>
  <c r="H33" i="2" s="1"/>
  <c r="G25" i="2"/>
  <c r="L9" i="3"/>
  <c r="H25" i="2" s="1"/>
  <c r="G22" i="2"/>
  <c r="L6" i="3"/>
  <c r="H22" i="2" s="1"/>
  <c r="L13" i="3"/>
  <c r="H29" i="2" s="1"/>
  <c r="L5" i="3"/>
  <c r="H21" i="2" s="1"/>
  <c r="L8" i="3"/>
  <c r="H24" i="2" s="1"/>
  <c r="L10" i="3"/>
  <c r="H26" i="2" s="1"/>
  <c r="L16" i="3"/>
  <c r="H32" i="2" s="1"/>
  <c r="E36" i="2"/>
  <c r="L12" i="3"/>
  <c r="H28" i="2" s="1"/>
  <c r="B4" i="2"/>
  <c r="F21" i="2"/>
  <c r="B5" i="2"/>
  <c r="H20" i="3"/>
  <c r="D14" i="2"/>
  <c r="D16" i="2"/>
  <c r="D15" i="2"/>
  <c r="D13" i="2"/>
  <c r="B8" i="2" l="1"/>
  <c r="D17" i="2"/>
  <c r="F17" i="2" s="1"/>
  <c r="E13" i="2" l="1"/>
  <c r="E15" i="2"/>
  <c r="E14" i="2"/>
  <c r="E16" i="2"/>
  <c r="E17" i="2" l="1"/>
</calcChain>
</file>

<file path=xl/sharedStrings.xml><?xml version="1.0" encoding="utf-8"?>
<sst xmlns="http://schemas.openxmlformats.org/spreadsheetml/2006/main" count="160" uniqueCount="148">
  <si>
    <t>Component Inventory Tracker - How to Use</t>
  </si>
  <si>
    <t>Tracks how much money's worth of components is in storage and how long it sits before shipping.</t>
  </si>
  <si>
    <t>Set-up (do once)</t>
  </si>
  <si>
    <t>1. Settings sheet</t>
  </si>
  <si>
    <t>Enter the go-live date (the day the opening inventory is counted). Change the 30/60/90-day aging limits if you like.</t>
  </si>
  <si>
    <t>2. Items sheet</t>
  </si>
  <si>
    <t>Type each component's Item Code, Unit Cost and Opening Quantity in the yellow cells. Names are already filled in; edit them if needed. Room for 15 components (13 used).</t>
  </si>
  <si>
    <t>Day-to-day</t>
  </si>
  <si>
    <t>Received components</t>
  </si>
  <si>
    <t>Receiving sheet: use the next empty row. Enter the date, pick the item code from the drop-down, and enter the quantity. Name, cost and total cost fill in automatically.</t>
  </si>
  <si>
    <t>Shipped products</t>
  </si>
  <si>
    <t>Shipping sheet: use the next empty row. Enter the date, an order/serial number and how many finished products shipped. One of EVERY component is removed from stock automatically.</t>
  </si>
  <si>
    <t>Reading the results</t>
  </si>
  <si>
    <t>Dashboard sheet: total money in inventory, average days components sit before shipping, money by age bucket, and a per-component table with the aging flag.</t>
  </si>
  <si>
    <t>Colour key</t>
  </si>
  <si>
    <t>Yellow cell, blue text</t>
  </si>
  <si>
    <t>You type here.</t>
  </si>
  <si>
    <t>White / light-blue cell</t>
  </si>
  <si>
    <t>Calculated automatically. These cells are locked (sheet protection, no password) so formulas can't be overwritten by accident. Review &gt; Unprotect Sheet if you need to change one.</t>
  </si>
  <si>
    <t>Fresh</t>
  </si>
  <si>
    <t>Oldest unshipped stock is within the first aging limit (default 30 days).</t>
  </si>
  <si>
    <t>Watch</t>
  </si>
  <si>
    <t>Past the first limit (default 31-60 days).</t>
  </si>
  <si>
    <t>Aging</t>
  </si>
  <si>
    <t>Past the second limit (default 61-90 days).</t>
  </si>
  <si>
    <t>Old</t>
  </si>
  <si>
    <t>Past the third limit (default over 90 days).</t>
  </si>
  <si>
    <t>Example of how entries look (not live data)</t>
  </si>
  <si>
    <t>Items</t>
  </si>
  <si>
    <t>Code: DS-100   Name: 64 GB SD Card   Unit Cost: $12.50   Opening Qty: 40</t>
  </si>
  <si>
    <t>Receiving</t>
  </si>
  <si>
    <t>Date: 11/03/2026   Item Code: DS-100   Qty Received: 25   PO/Ref: PO-2231</t>
  </si>
  <si>
    <t>Shipping</t>
  </si>
  <si>
    <t>Date: 11/10/2026   Order/Serial #: SN-0007   Qty of Finished Products Shipped: 2</t>
  </si>
  <si>
    <t>Assumptions and how the numbers are calculated</t>
  </si>
  <si>
    <t>One of each component</t>
  </si>
  <si>
    <t>Every finished product contains exactly one of each component (stated by the company), so shipping N products uses N of every component.</t>
  </si>
  <si>
    <t>Opening stock date</t>
  </si>
  <si>
    <t>Arrival dates of existing stock are unknown, so it is dated on the go-live date in Settings. Its aging starts at zero on that date; aging for new deliveries is exact.</t>
  </si>
  <si>
    <t>First-in-first-out</t>
  </si>
  <si>
    <t>The oldest units are assumed to ship first. Days in storage for a shipped unit = ship date minus the date that unit was received.</t>
  </si>
  <si>
    <t>Average days before shipping</t>
  </si>
  <si>
    <t>Per component: average over all units shipped so far. Dashboard figure: cost-weighted average, so expensive components count more (matches the goal of dollars sitting in storage). Opening stock counts from the go-live date, not from its true arrival.</t>
  </si>
  <si>
    <t>Money in inventory</t>
  </si>
  <si>
    <t>On-hand quantity x the fixed unit cost entered on the Items sheet (costs do not change).</t>
  </si>
  <si>
    <t>Entry rules</t>
  </si>
  <si>
    <t>Keep Receiving and Shipping rows in date order and use the next empty row (don't leave gaps or sort the log). Room for 1,000 receipts and 1,000 shipments.</t>
  </si>
  <si>
    <t>Data check</t>
  </si>
  <si>
    <t>If a component shows negative stock, more products were logged as shipped than were received. Fix the log; averages are unreliable until then.</t>
  </si>
  <si>
    <t>Not included</t>
  </si>
  <si>
    <t>Returns, scrap/damage, and per-shipment average days are not tracked. For a count correction, add a receiving row for found stock; contact the builder to add other transaction types.</t>
  </si>
  <si>
    <t>Component Inventory Dashboard</t>
  </si>
  <si>
    <t>Key Numbers</t>
  </si>
  <si>
    <t>Total value of components in inventory</t>
  </si>
  <si>
    <t>Average days components stay in storage before shipping</t>
  </si>
  <si>
    <t>Cost-weighted average across all components (first-in-first-out).</t>
  </si>
  <si>
    <t>Finished products shipped (total)</t>
  </si>
  <si>
    <t>Complete products that could be built from current stock</t>
  </si>
  <si>
    <t>Components flagged Aging or Old</t>
  </si>
  <si>
    <t>Money in Storage by Age</t>
  </si>
  <si>
    <t>Age bucket</t>
  </si>
  <si>
    <t>From (days)</t>
  </si>
  <si>
    <t>To (days)</t>
  </si>
  <si>
    <t>Value ($)</t>
  </si>
  <si>
    <t>% of total</t>
  </si>
  <si>
    <t>Total</t>
  </si>
  <si>
    <t>By Component</t>
  </si>
  <si>
    <t>Component</t>
  </si>
  <si>
    <t>Item Code</t>
  </si>
  <si>
    <t>Unit Cost ($)</t>
  </si>
  <si>
    <t>On Hand</t>
  </si>
  <si>
    <t>Avg Days in Storage
Before Shipping</t>
  </si>
  <si>
    <t>Age of Oldest Stock
On Hand (days)</t>
  </si>
  <si>
    <t>Aging Flag</t>
  </si>
  <si>
    <t>Items - Component Master List &amp; Current Stock</t>
  </si>
  <si>
    <t>Enter Item Code, Unit Cost and Opening Quantity in the yellow cells (names are pre-filled from your list and can be edited). Columns E onward calculate automatically.</t>
  </si>
  <si>
    <t>Item Name</t>
  </si>
  <si>
    <t>Opening Qty
(at go-live)</t>
  </si>
  <si>
    <t>Qty Received
(from Receiving log)</t>
  </si>
  <si>
    <t>Qty Used
(finished products shipped)</t>
  </si>
  <si>
    <t>Inventory Value ($)</t>
  </si>
  <si>
    <t>Opening Qty
Still on Hand</t>
  </si>
  <si>
    <t>FNN-145</t>
  </si>
  <si>
    <t>TOTAL</t>
  </si>
  <si>
    <t>Notes: 'Qty Used' equals total finished products shipped because every product contains one of each component. 'Avg Days in Storage Before Shipping' uses first-in-first-out (oldest stock ships first). Opening stock is dated on the go-live date in Settings.</t>
  </si>
  <si>
    <t>Receiving Log - Components Coming Into Storage</t>
  </si>
  <si>
    <t>Add one row per delivery in the next empty row (keep rows in date order). Fill the yellow columns only; grey-blue columns calculate automatically.</t>
  </si>
  <si>
    <t>Date Received</t>
  </si>
  <si>
    <t>Item Code
(pick from list)</t>
  </si>
  <si>
    <t>Qty Received</t>
  </si>
  <si>
    <t>Total Cost ($)</t>
  </si>
  <si>
    <t>PO / Ref # (optional)</t>
  </si>
  <si>
    <t>Units Before
(this item, earlier)</t>
  </si>
  <si>
    <t>Units Still
in Storage</t>
  </si>
  <si>
    <t>Units Already
Shipped</t>
  </si>
  <si>
    <t>Value Still
in Storage ($)</t>
  </si>
  <si>
    <t>Age of Remaining
Units (days)</t>
  </si>
  <si>
    <t>Aging Status</t>
  </si>
  <si>
    <t>Date x Units Shipped
(helper)</t>
  </si>
  <si>
    <t>Shipping Log - Finished Products Shipped</t>
  </si>
  <si>
    <t>Add one row per shipment in the next empty row (keep rows in date order). Each finished product removes one of EVERY component from stock.</t>
  </si>
  <si>
    <t>Date Shipped</t>
  </si>
  <si>
    <t>Order / Serial #</t>
  </si>
  <si>
    <t>Qty of Finished
Products Shipped</t>
  </si>
  <si>
    <t>Notes (optional)</t>
  </si>
  <si>
    <t>Settings</t>
  </si>
  <si>
    <t>Yellow cells are inputs. Everything else calculates automatically.</t>
  </si>
  <si>
    <t>Go-live date (date opening inventory was counted)</t>
  </si>
  <si>
    <t>ASSUMPTION: set to the date this system starts. Opening stock is treated as received on this date, so its aging starts at zero here.</t>
  </si>
  <si>
    <t>Aging: 'Fresh' up to (days)</t>
  </si>
  <si>
    <t>Default 30. Stock older than this becomes 'Watch'.</t>
  </si>
  <si>
    <t>Aging: 'Watch' up to (days)</t>
  </si>
  <si>
    <t>Default 60. Stock older than this becomes 'Aging'.</t>
  </si>
  <si>
    <t>Aging: 'Aging' up to (days)</t>
  </si>
  <si>
    <t>Default 90. Stock older than this becomes 'Old'.</t>
  </si>
  <si>
    <t>Calculated values used by other sheets (do not edit)</t>
  </si>
  <si>
    <t>Each shipped product uses exactly one of every component (given by the company).</t>
  </si>
  <si>
    <t>Sum of (ship date x qty) over all shipments</t>
  </si>
  <si>
    <t>Helper for the average-days-to-ship calculation.</t>
  </si>
  <si>
    <t>Opening stock still on hand, at cost</t>
  </si>
  <si>
    <t>Opening units not yet shipped x unit cost.</t>
  </si>
  <si>
    <t>Age of opening stock today (days)</t>
  </si>
  <si>
    <t>TNA-019</t>
  </si>
  <si>
    <t>TNA-481</t>
  </si>
  <si>
    <t>TNA-083</t>
  </si>
  <si>
    <t>TNA-032</t>
  </si>
  <si>
    <t>TNA-321</t>
  </si>
  <si>
    <t>TNA-257</t>
  </si>
  <si>
    <t>TNA-05</t>
  </si>
  <si>
    <t>TNA-017</t>
  </si>
  <si>
    <t>TNA-045</t>
  </si>
  <si>
    <t>TNA-900</t>
  </si>
  <si>
    <t>TNA-067</t>
  </si>
  <si>
    <t>TNA-787</t>
  </si>
  <si>
    <t>TNA-086</t>
  </si>
  <si>
    <t>Vanilla Ice Cream Mix</t>
  </si>
  <si>
    <t>Chocolate Ice Cream Mix</t>
  </si>
  <si>
    <t>Strawberry Ice Cream Mix</t>
  </si>
  <si>
    <t>Rainbow Spinkles</t>
  </si>
  <si>
    <t>Chocolate Syrup</t>
  </si>
  <si>
    <t>Caramel Sauce</t>
  </si>
  <si>
    <t>Cruched Oreo Cookies</t>
  </si>
  <si>
    <t>Choppped Peanuts</t>
  </si>
  <si>
    <t>Waffle Cones</t>
  </si>
  <si>
    <t>Sugar Cones</t>
  </si>
  <si>
    <t>Ice Cream Cups</t>
  </si>
  <si>
    <t>Plastic Ice Cream Spoons</t>
  </si>
  <si>
    <t>Disposable Gloves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</si>
</sst>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;&quot;($&quot;#,##0.00\);\-"/>
    <numFmt numFmtId="165" formatCode="#,##0.0&quot; days&quot;"/>
    <numFmt numFmtId="166" formatCode="[&gt;=99999]&quot;and up&quot;;#,##0"/>
    <numFmt numFmtId="167" formatCode="0.0%"/>
    <numFmt numFmtId="168" formatCode="#,##0;\(#,##0\);0"/>
    <numFmt numFmtId="169" formatCode="#,##0.0"/>
    <numFmt numFmtId="170" formatCode="mm/dd/yyyy"/>
  </numFmts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color rgb="FF1E5631"/>
      <name val="Arial"/>
      <family val="2"/>
    </font>
    <font>
      <b/>
      <sz val="11"/>
      <color rgb="FF7F6000"/>
      <name val="Arial"/>
      <family val="2"/>
    </font>
    <font>
      <b/>
      <sz val="11"/>
      <color rgb="FF843C0C"/>
      <name val="Arial"/>
      <family val="2"/>
    </font>
    <font>
      <b/>
      <sz val="11"/>
      <color rgb="FF7F0000"/>
      <name val="Arial"/>
      <family val="2"/>
    </font>
    <font>
      <b/>
      <sz val="12"/>
      <color rgb="FF1F4E79"/>
      <name val="Arial"/>
      <family val="2"/>
    </font>
    <font>
      <b/>
      <sz val="10"/>
      <color rgb="FF1F4E79"/>
      <name val="Arial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E5631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7FC"/>
      </patternFill>
    </fill>
    <fill>
      <patternFill patternType="solid">
        <fgColor rgb="FFDDEBF7"/>
        <bgColor rgb="FFE7E6E6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F9999"/>
        <bgColor rgb="FFFF8080"/>
      </patternFill>
    </fill>
    <fill>
      <patternFill patternType="solid">
        <fgColor rgb="FFF2F7FC"/>
        <bgColor rgb="FFFFFFFF"/>
      </patternFill>
    </fill>
    <fill>
      <patternFill patternType="solid">
        <fgColor rgb="FF9DC3E6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0" xfId="0" applyFont="1" applyFill="1"/>
    <xf numFmtId="0" fontId="0" fillId="3" borderId="0" xfId="0" applyFill="1"/>
    <xf numFmtId="0" fontId="4" fillId="0" borderId="0" xfId="0" applyFont="1" applyAlignment="1">
      <alignment vertical="top" wrapText="1"/>
    </xf>
    <xf numFmtId="0" fontId="5" fillId="4" borderId="1" xfId="0" applyFont="1" applyFill="1" applyBorder="1"/>
    <xf numFmtId="0" fontId="4" fillId="0" borderId="0" xfId="0" applyFont="1"/>
    <xf numFmtId="0" fontId="4" fillId="5" borderId="1" xfId="0" applyFont="1" applyFill="1" applyBorder="1"/>
    <xf numFmtId="0" fontId="4" fillId="0" borderId="0" xfId="0" applyFont="1" applyAlignment="1">
      <alignment wrapText="1"/>
    </xf>
    <xf numFmtId="0" fontId="6" fillId="6" borderId="1" xfId="0" applyFont="1" applyFill="1" applyBorder="1"/>
    <xf numFmtId="0" fontId="7" fillId="7" borderId="1" xfId="0" applyFont="1" applyFill="1" applyBorder="1"/>
    <xf numFmtId="0" fontId="8" fillId="8" borderId="1" xfId="0" applyFont="1" applyFill="1" applyBorder="1"/>
    <xf numFmtId="0" fontId="9" fillId="9" borderId="1" xfId="0" applyFont="1" applyFill="1" applyBorder="1"/>
    <xf numFmtId="0" fontId="4" fillId="10" borderId="1" xfId="0" applyFont="1" applyFill="1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166" fontId="4" fillId="0" borderId="1" xfId="0" applyNumberFormat="1" applyFont="1" applyBorder="1"/>
    <xf numFmtId="164" fontId="4" fillId="0" borderId="1" xfId="0" applyNumberFormat="1" applyFont="1" applyBorder="1"/>
    <xf numFmtId="167" fontId="4" fillId="0" borderId="1" xfId="0" applyNumberFormat="1" applyFon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167" fontId="3" fillId="3" borderId="1" xfId="0" applyNumberFormat="1" applyFont="1" applyFill="1" applyBorder="1"/>
    <xf numFmtId="168" fontId="4" fillId="0" borderId="1" xfId="0" applyNumberFormat="1" applyFont="1" applyBorder="1"/>
    <xf numFmtId="169" fontId="4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Protection="1">
      <protection locked="0"/>
    </xf>
    <xf numFmtId="164" fontId="5" fillId="4" borderId="1" xfId="0" applyNumberFormat="1" applyFont="1" applyFill="1" applyBorder="1" applyProtection="1">
      <protection locked="0"/>
    </xf>
    <xf numFmtId="168" fontId="5" fillId="4" borderId="1" xfId="0" applyNumberFormat="1" applyFont="1" applyFill="1" applyBorder="1" applyProtection="1">
      <protection locked="0"/>
    </xf>
    <xf numFmtId="169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170" fontId="5" fillId="4" borderId="1" xfId="0" applyNumberFormat="1" applyFont="1" applyFill="1" applyBorder="1" applyProtection="1">
      <protection locked="0"/>
    </xf>
    <xf numFmtId="3" fontId="5" fillId="4" borderId="1" xfId="0" applyNumberFormat="1" applyFont="1" applyFill="1" applyBorder="1" applyProtection="1">
      <protection locked="0"/>
    </xf>
    <xf numFmtId="1" fontId="5" fillId="4" borderId="1" xfId="0" applyNumberFormat="1" applyFont="1" applyFill="1" applyBorder="1" applyProtection="1">
      <protection locked="0"/>
    </xf>
    <xf numFmtId="0" fontId="12" fillId="0" borderId="0" xfId="0" applyFont="1"/>
    <xf numFmtId="0" fontId="2" fillId="0" borderId="0" xfId="0" applyFont="1" applyAlignment="1">
      <alignment horizontal="left" vertical="center" wrapText="1"/>
    </xf>
    <xf numFmtId="3" fontId="10" fillId="5" borderId="1" xfId="0" applyNumberFormat="1" applyFont="1" applyFill="1" applyBorder="1" applyAlignment="1">
      <alignment horizontal="right"/>
    </xf>
    <xf numFmtId="49" fontId="10" fillId="5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center" wrapText="1" indent="1"/>
    </xf>
    <xf numFmtId="164" fontId="10" fillId="5" borderId="1" xfId="0" applyNumberFormat="1" applyFont="1" applyFill="1" applyBorder="1" applyAlignment="1">
      <alignment horizontal="right"/>
    </xf>
    <xf numFmtId="165" fontId="10" fillId="5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22">
    <dxf>
      <font>
        <b/>
        <color rgb="FF595959"/>
        <name val="Arial"/>
        <charset val="1"/>
      </font>
      <fill>
        <patternFill>
          <bgColor rgb="FFE7E6E6"/>
        </patternFill>
      </fill>
    </dxf>
    <dxf>
      <font>
        <b/>
        <color rgb="FF595959"/>
        <name val="Arial"/>
        <charset val="1"/>
      </font>
      <fill>
        <patternFill>
          <bgColor rgb="FFE7E6E6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7F0000"/>
        <name val="Arial"/>
        <charset val="1"/>
      </font>
      <fill>
        <patternFill>
          <bgColor rgb="FFFF9999"/>
        </patternFill>
      </fill>
    </dxf>
    <dxf>
      <font>
        <b/>
        <color rgb="FF843C0C"/>
        <name val="Arial"/>
        <charset val="1"/>
      </font>
      <fill>
        <patternFill>
          <bgColor rgb="FFF8CBAD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1E5631"/>
        <name val="Arial"/>
        <charset val="1"/>
      </font>
      <fill>
        <patternFill>
          <bgColor rgb="FFC6E0B4"/>
        </patternFill>
      </fill>
    </dxf>
    <dxf>
      <font>
        <b/>
        <color rgb="FF595959"/>
        <name val="Arial"/>
        <charset val="1"/>
      </font>
      <fill>
        <patternFill>
          <bgColor rgb="FFE7E6E6"/>
        </patternFill>
      </fill>
    </dxf>
    <dxf>
      <font>
        <b/>
        <color rgb="FF595959"/>
        <name val="Arial"/>
        <charset val="1"/>
      </font>
      <fill>
        <patternFill>
          <bgColor rgb="FFE7E6E6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7F0000"/>
        <name val="Arial"/>
        <charset val="1"/>
      </font>
      <fill>
        <patternFill>
          <bgColor rgb="FFFF9999"/>
        </patternFill>
      </fill>
    </dxf>
    <dxf>
      <font>
        <b/>
        <color rgb="FF843C0C"/>
        <name val="Arial"/>
        <charset val="1"/>
      </font>
      <fill>
        <patternFill>
          <bgColor rgb="FFF8CBAD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1E5631"/>
        <name val="Arial"/>
        <charset val="1"/>
      </font>
      <fill>
        <patternFill>
          <bgColor rgb="FFC6E0B4"/>
        </patternFill>
      </fill>
    </dxf>
    <dxf>
      <font>
        <b/>
        <color rgb="FF595959"/>
        <name val="Arial"/>
        <charset val="1"/>
      </font>
      <fill>
        <patternFill>
          <bgColor rgb="FFE7E6E6"/>
        </patternFill>
      </fill>
    </dxf>
    <dxf>
      <font>
        <b/>
        <color rgb="FF595959"/>
        <name val="Arial"/>
        <charset val="1"/>
      </font>
      <fill>
        <patternFill>
          <bgColor rgb="FFE7E6E6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7F0000"/>
        <name val="Arial"/>
        <charset val="1"/>
      </font>
      <fill>
        <patternFill>
          <bgColor rgb="FFFF9999"/>
        </patternFill>
      </fill>
    </dxf>
    <dxf>
      <font>
        <b/>
        <color rgb="FF843C0C"/>
        <name val="Arial"/>
        <charset val="1"/>
      </font>
      <fill>
        <patternFill>
          <bgColor rgb="FFF8CBAD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1E5631"/>
        <name val="Arial"/>
        <charset val="1"/>
      </font>
      <fill>
        <patternFill>
          <bgColor rgb="FFC6E0B4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C6E0B4"/>
      <rgbColor rgb="FFFFE699"/>
      <rgbColor rgb="FF9DC3E6"/>
      <rgbColor rgb="FFFF9999"/>
      <rgbColor rgb="FFE7E6E6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1E5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Money in Storage by Age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Dashboard!$D$12</c:f>
              <c:strCache>
                <c:ptCount val="1"/>
                <c:pt idx="0">
                  <c:v>Value ($)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Dashboard!$A$13:$A$16</c:f>
              <c:strCache>
                <c:ptCount val="4"/>
                <c:pt idx="0">
                  <c:v>0- days (Fresh)</c:v>
                </c:pt>
                <c:pt idx="1">
                  <c:v>1- days (Watch)</c:v>
                </c:pt>
                <c:pt idx="2">
                  <c:v>1- days (Aging)</c:v>
                </c:pt>
                <c:pt idx="3">
                  <c:v>Over  days (Old)</c:v>
                </c:pt>
              </c:strCache>
            </c:strRef>
          </c:cat>
          <c:val>
            <c:numRef>
              <c:f>Dashboard!$D$13:$D$16</c:f>
              <c:numCache>
                <c:formatCode>\$#,##0.00;"($"#,##0.00\);\-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142542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8-4E9D-9B99-6654D3DC0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64228"/>
        <c:axId val="48237089"/>
      </c:barChart>
      <c:catAx>
        <c:axId val="536642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237089"/>
        <c:crosses val="autoZero"/>
        <c:auto val="1"/>
        <c:lblAlgn val="ctr"/>
        <c:lblOffset val="100"/>
        <c:noMultiLvlLbl val="0"/>
      </c:catAx>
      <c:valAx>
        <c:axId val="482370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6642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Inventory Value by Component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Dashboard!$E$20</c:f>
              <c:strCache>
                <c:ptCount val="1"/>
                <c:pt idx="0">
                  <c:v>Value ($)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Dashboard!$A$21:$A$35</c:f>
              <c:strCache>
                <c:ptCount val="13"/>
                <c:pt idx="0">
                  <c:v>Vanilla Ice Cream Mix</c:v>
                </c:pt>
                <c:pt idx="1">
                  <c:v>Chocolate Ice Cream Mix</c:v>
                </c:pt>
                <c:pt idx="2">
                  <c:v>Strawberry Ice Cream Mix</c:v>
                </c:pt>
                <c:pt idx="3">
                  <c:v>Rainbow Spinkles</c:v>
                </c:pt>
                <c:pt idx="4">
                  <c:v>Chocolate Syrup</c:v>
                </c:pt>
                <c:pt idx="5">
                  <c:v>Caramel Sauce</c:v>
                </c:pt>
                <c:pt idx="6">
                  <c:v>Cruched Oreo Cookies</c:v>
                </c:pt>
                <c:pt idx="7">
                  <c:v>Choppped Peanuts</c:v>
                </c:pt>
                <c:pt idx="8">
                  <c:v>Waffle Cones</c:v>
                </c:pt>
                <c:pt idx="9">
                  <c:v>Sugar Cones</c:v>
                </c:pt>
                <c:pt idx="10">
                  <c:v>Ice Cream Cups</c:v>
                </c:pt>
                <c:pt idx="11">
                  <c:v>Plastic Ice Cream Spoons</c:v>
                </c:pt>
                <c:pt idx="12">
                  <c:v>Disposable Gloves</c:v>
                </c:pt>
              </c:strCache>
            </c:strRef>
          </c:cat>
          <c:val>
            <c:numRef>
              <c:f>Dashboard!$E$21:$E$35</c:f>
              <c:numCache>
                <c:formatCode>\$#,##0.00;"($"#,##0.00\);\-</c:formatCode>
                <c:ptCount val="15"/>
                <c:pt idx="0">
                  <c:v>6240</c:v>
                </c:pt>
                <c:pt idx="1">
                  <c:v>720</c:v>
                </c:pt>
                <c:pt idx="2">
                  <c:v>0</c:v>
                </c:pt>
                <c:pt idx="3">
                  <c:v>91000</c:v>
                </c:pt>
                <c:pt idx="4">
                  <c:v>672</c:v>
                </c:pt>
                <c:pt idx="5">
                  <c:v>540</c:v>
                </c:pt>
                <c:pt idx="6">
                  <c:v>37950</c:v>
                </c:pt>
                <c:pt idx="7">
                  <c:v>3000</c:v>
                </c:pt>
                <c:pt idx="8">
                  <c:v>90</c:v>
                </c:pt>
                <c:pt idx="9">
                  <c:v>0</c:v>
                </c:pt>
                <c:pt idx="10">
                  <c:v>1210</c:v>
                </c:pt>
                <c:pt idx="11">
                  <c:v>120</c:v>
                </c:pt>
                <c:pt idx="12">
                  <c:v>1000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4-4130-9F6A-C751E2022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32129"/>
        <c:axId val="18567754"/>
      </c:barChart>
      <c:catAx>
        <c:axId val="4043212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567754"/>
        <c:crosses val="autoZero"/>
        <c:auto val="1"/>
        <c:lblAlgn val="ctr"/>
        <c:lblOffset val="100"/>
        <c:noMultiLvlLbl val="0"/>
      </c:catAx>
      <c:valAx>
        <c:axId val="18567754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4321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83820</xdr:colOff>
      <xdr:row>3</xdr:row>
      <xdr:rowOff>198120</xdr:rowOff>
    </xdr:from>
    <xdr:to>
      <xdr:col>18</xdr:col>
      <xdr:colOff>870</xdr:colOff>
      <xdr:row>15</xdr:row>
      <xdr:rowOff>104880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17</xdr:col>
      <xdr:colOff>507600</xdr:colOff>
      <xdr:row>37</xdr:row>
      <xdr:rowOff>101880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DC3E6"/>
  </sheetPr>
  <dimension ref="A1:C30"/>
  <sheetViews>
    <sheetView showGridLines="0" topLeftCell="A6" zoomScaleNormal="100" workbookViewId="0">
      <selection activeCell="C15" sqref="C15"/>
    </sheetView>
  </sheetViews>
  <sheetFormatPr baseColWidth="10" defaultColWidth="8.6640625" defaultRowHeight="15" x14ac:dyDescent="0.2"/>
  <cols>
    <col min="1" max="1" width="4" customWidth="1"/>
    <col min="2" max="2" width="34" customWidth="1"/>
    <col min="3" max="3" width="100" customWidth="1"/>
  </cols>
  <sheetData>
    <row r="1" spans="1:3" ht="33.75" customHeight="1" x14ac:dyDescent="0.2">
      <c r="A1" s="39" t="s">
        <v>0</v>
      </c>
      <c r="B1" s="39"/>
      <c r="C1" s="39"/>
    </row>
    <row r="2" spans="1:3" ht="30" customHeight="1" x14ac:dyDescent="0.2">
      <c r="A2" s="40" t="s">
        <v>1</v>
      </c>
      <c r="B2" s="40"/>
      <c r="C2" s="40"/>
    </row>
    <row r="4" spans="1:3" x14ac:dyDescent="0.2">
      <c r="A4" s="1" t="s">
        <v>2</v>
      </c>
      <c r="B4" s="2"/>
      <c r="C4" s="2"/>
    </row>
    <row r="5" spans="1:3" ht="27.75" customHeight="1" x14ac:dyDescent="0.2">
      <c r="B5" s="3" t="s">
        <v>3</v>
      </c>
      <c r="C5" s="3" t="s">
        <v>4</v>
      </c>
    </row>
    <row r="6" spans="1:3" ht="27.75" customHeight="1" x14ac:dyDescent="0.2">
      <c r="B6" s="3" t="s">
        <v>5</v>
      </c>
      <c r="C6" s="3" t="s">
        <v>6</v>
      </c>
    </row>
    <row r="7" spans="1:3" x14ac:dyDescent="0.2">
      <c r="A7" s="1" t="s">
        <v>7</v>
      </c>
      <c r="B7" s="2"/>
      <c r="C7" s="2"/>
    </row>
    <row r="8" spans="1:3" ht="27.75" customHeight="1" x14ac:dyDescent="0.2">
      <c r="B8" s="3" t="s">
        <v>8</v>
      </c>
      <c r="C8" s="3" t="s">
        <v>9</v>
      </c>
    </row>
    <row r="9" spans="1:3" ht="27.75" customHeight="1" x14ac:dyDescent="0.2">
      <c r="B9" s="3" t="s">
        <v>10</v>
      </c>
      <c r="C9" s="3" t="s">
        <v>11</v>
      </c>
    </row>
    <row r="10" spans="1:3" ht="27.75" customHeight="1" x14ac:dyDescent="0.2">
      <c r="B10" s="3" t="s">
        <v>12</v>
      </c>
      <c r="C10" s="3" t="s">
        <v>13</v>
      </c>
    </row>
    <row r="11" spans="1:3" x14ac:dyDescent="0.2">
      <c r="A11" s="1" t="s">
        <v>14</v>
      </c>
      <c r="B11" s="2"/>
      <c r="C11" s="2"/>
    </row>
    <row r="12" spans="1:3" x14ac:dyDescent="0.2">
      <c r="B12" s="4" t="s">
        <v>15</v>
      </c>
      <c r="C12" s="5" t="s">
        <v>16</v>
      </c>
    </row>
    <row r="13" spans="1:3" ht="27.75" customHeight="1" x14ac:dyDescent="0.2">
      <c r="B13" s="6" t="s">
        <v>17</v>
      </c>
      <c r="C13" s="7" t="s">
        <v>18</v>
      </c>
    </row>
    <row r="14" spans="1:3" x14ac:dyDescent="0.2">
      <c r="B14" s="8" t="s">
        <v>19</v>
      </c>
      <c r="C14" s="5" t="s">
        <v>20</v>
      </c>
    </row>
    <row r="15" spans="1:3" x14ac:dyDescent="0.2">
      <c r="B15" s="9" t="s">
        <v>21</v>
      </c>
      <c r="C15" s="5" t="s">
        <v>22</v>
      </c>
    </row>
    <row r="16" spans="1:3" x14ac:dyDescent="0.2">
      <c r="B16" s="10" t="s">
        <v>23</v>
      </c>
      <c r="C16" s="5" t="s">
        <v>24</v>
      </c>
    </row>
    <row r="17" spans="1:3" x14ac:dyDescent="0.2">
      <c r="B17" s="11" t="s">
        <v>25</v>
      </c>
      <c r="C17" s="5" t="s">
        <v>26</v>
      </c>
    </row>
    <row r="18" spans="1:3" x14ac:dyDescent="0.2">
      <c r="A18" s="1" t="s">
        <v>27</v>
      </c>
      <c r="B18" s="2"/>
      <c r="C18" s="2"/>
    </row>
    <row r="19" spans="1:3" ht="15.75" customHeight="1" x14ac:dyDescent="0.2">
      <c r="B19" s="3" t="s">
        <v>28</v>
      </c>
      <c r="C19" s="3" t="s">
        <v>29</v>
      </c>
    </row>
    <row r="20" spans="1:3" ht="15.75" customHeight="1" x14ac:dyDescent="0.2">
      <c r="B20" s="3" t="s">
        <v>30</v>
      </c>
      <c r="C20" s="3" t="s">
        <v>31</v>
      </c>
    </row>
    <row r="21" spans="1:3" ht="15.75" customHeight="1" x14ac:dyDescent="0.2">
      <c r="B21" s="3" t="s">
        <v>32</v>
      </c>
      <c r="C21" s="3" t="s">
        <v>33</v>
      </c>
    </row>
    <row r="22" spans="1:3" x14ac:dyDescent="0.2">
      <c r="A22" s="1" t="s">
        <v>34</v>
      </c>
      <c r="B22" s="2"/>
      <c r="C22" s="2"/>
    </row>
    <row r="23" spans="1:3" ht="27.75" customHeight="1" x14ac:dyDescent="0.2">
      <c r="B23" s="3" t="s">
        <v>35</v>
      </c>
      <c r="C23" s="3" t="s">
        <v>36</v>
      </c>
    </row>
    <row r="24" spans="1:3" ht="27.75" customHeight="1" x14ac:dyDescent="0.2">
      <c r="B24" s="3" t="s">
        <v>37</v>
      </c>
      <c r="C24" s="3" t="s">
        <v>38</v>
      </c>
    </row>
    <row r="25" spans="1:3" ht="27.75" customHeight="1" x14ac:dyDescent="0.2">
      <c r="B25" s="3" t="s">
        <v>39</v>
      </c>
      <c r="C25" s="3" t="s">
        <v>40</v>
      </c>
    </row>
    <row r="26" spans="1:3" ht="42" customHeight="1" x14ac:dyDescent="0.2">
      <c r="B26" s="3" t="s">
        <v>41</v>
      </c>
      <c r="C26" s="3" t="s">
        <v>42</v>
      </c>
    </row>
    <row r="27" spans="1:3" ht="15.75" customHeight="1" x14ac:dyDescent="0.2">
      <c r="B27" s="3" t="s">
        <v>43</v>
      </c>
      <c r="C27" s="3" t="s">
        <v>44</v>
      </c>
    </row>
    <row r="28" spans="1:3" ht="27.75" customHeight="1" x14ac:dyDescent="0.2">
      <c r="B28" s="3" t="s">
        <v>45</v>
      </c>
      <c r="C28" s="3" t="s">
        <v>46</v>
      </c>
    </row>
    <row r="29" spans="1:3" ht="27.75" customHeight="1" x14ac:dyDescent="0.2">
      <c r="B29" s="3" t="s">
        <v>47</v>
      </c>
      <c r="C29" s="3" t="s">
        <v>48</v>
      </c>
    </row>
    <row r="30" spans="1:3" ht="27.75" customHeight="1" x14ac:dyDescent="0.2">
      <c r="B30" s="3" t="s">
        <v>49</v>
      </c>
      <c r="C30" s="3" t="s">
        <v>50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showGridLines="0" zoomScaleNormal="100" workbookViewId="0">
      <pane ySplit="3" topLeftCell="A16" activePane="bottomLeft" state="frozen"/>
      <selection pane="bottomLeft" activeCell="B21" sqref="B21:B33"/>
    </sheetView>
  </sheetViews>
  <sheetFormatPr baseColWidth="10" defaultColWidth="8.6640625" defaultRowHeight="15" x14ac:dyDescent="0.2"/>
  <cols>
    <col min="1" max="1" width="56" customWidth="1"/>
    <col min="2" max="2" width="15" customWidth="1"/>
    <col min="3" max="3" width="13" customWidth="1"/>
    <col min="4" max="4" width="14" customWidth="1"/>
    <col min="5" max="5" width="16" customWidth="1"/>
    <col min="6" max="7" width="17" customWidth="1"/>
    <col min="8" max="8" width="14" customWidth="1"/>
    <col min="9" max="9" width="3" customWidth="1"/>
  </cols>
  <sheetData>
    <row r="1" spans="1:8" ht="33.75" customHeight="1" x14ac:dyDescent="0.2">
      <c r="A1" s="39" t="s">
        <v>51</v>
      </c>
      <c r="B1" s="39"/>
      <c r="C1" s="39"/>
      <c r="D1" s="39"/>
      <c r="E1" s="39"/>
      <c r="F1" s="39"/>
      <c r="G1" s="39"/>
      <c r="H1" s="39"/>
    </row>
    <row r="2" spans="1:8" ht="30" customHeight="1" x14ac:dyDescent="0.2">
      <c r="A2" s="40" t="str">
        <f ca="1">"As of "&amp;TEXT(TODAY(),"mm/dd/yyyy")&amp;"   |   Dollar values are components at cost; aging = days since the oldest unshipped units were received."</f>
        <v>As of 10/15/2026   |   Dollar values are components at cost; aging = days since the oldest unshipped units were received.</v>
      </c>
      <c r="B2" s="40"/>
      <c r="C2" s="40"/>
      <c r="D2" s="40"/>
      <c r="E2" s="40"/>
      <c r="F2" s="40"/>
      <c r="G2" s="40"/>
      <c r="H2" s="40"/>
    </row>
    <row r="3" spans="1:8" x14ac:dyDescent="0.2">
      <c r="A3" s="1" t="s">
        <v>52</v>
      </c>
      <c r="B3" s="2"/>
      <c r="C3" s="2"/>
      <c r="D3" s="2"/>
      <c r="E3" s="2"/>
      <c r="F3" s="2"/>
      <c r="G3" s="2"/>
      <c r="H3" s="2"/>
    </row>
    <row r="4" spans="1:8" ht="21.75" customHeight="1" x14ac:dyDescent="0.2">
      <c r="A4" s="12" t="s">
        <v>53</v>
      </c>
      <c r="B4" s="41">
        <f>SUM(Items!H5:H19)</f>
        <v>142542</v>
      </c>
      <c r="C4" s="41"/>
    </row>
    <row r="5" spans="1:8" ht="21.75" customHeight="1" x14ac:dyDescent="0.2">
      <c r="A5" s="12" t="s">
        <v>54</v>
      </c>
      <c r="B5" s="42" t="str">
        <f>IF(TotalShipped=0,"n/a",SUMPRODUCT(Items!C5:C19,Items!J5:J19)/SUM(Items!C5:C19))</f>
        <v>n/a</v>
      </c>
      <c r="C5" s="42"/>
      <c r="D5" s="13" t="s">
        <v>55</v>
      </c>
    </row>
    <row r="6" spans="1:8" ht="21.75" customHeight="1" x14ac:dyDescent="0.2">
      <c r="A6" s="12" t="s">
        <v>56</v>
      </c>
      <c r="B6" s="37">
        <f>TotalShipped</f>
        <v>0</v>
      </c>
      <c r="C6" s="37"/>
    </row>
    <row r="7" spans="1:8" ht="21.75" customHeight="1" x14ac:dyDescent="0.2">
      <c r="A7" s="12" t="s">
        <v>57</v>
      </c>
      <c r="B7" s="37">
        <f>IF(COUNT(Items!G5:G19)=0,"n/a",MAX(0,MIN(Items!G5:G19)))</f>
        <v>0</v>
      </c>
      <c r="C7" s="37"/>
    </row>
    <row r="8" spans="1:8" ht="21.75" customHeight="1" x14ac:dyDescent="0.2">
      <c r="A8" s="12" t="s">
        <v>58</v>
      </c>
      <c r="B8" s="37">
        <f ca="1">COUNTIF(Items!L5:L19,"Aging")+COUNTIF(Items!L5:L19,"Old")</f>
        <v>11</v>
      </c>
      <c r="C8" s="37"/>
    </row>
    <row r="9" spans="1:8" ht="21.75" customHeight="1" x14ac:dyDescent="0.2">
      <c r="A9" s="12" t="s">
        <v>47</v>
      </c>
      <c r="B9" s="38" t="str">
        <f>IF(COUNTIF(Items!G5:G19,"&lt;0")&gt;0,"CHECK: negative stock on a component","OK")</f>
        <v>OK</v>
      </c>
      <c r="C9" s="38"/>
    </row>
    <row r="11" spans="1:8" x14ac:dyDescent="0.2">
      <c r="A11" s="1" t="s">
        <v>59</v>
      </c>
      <c r="B11" s="2"/>
      <c r="C11" s="2"/>
      <c r="D11" s="2"/>
      <c r="E11" s="2"/>
      <c r="F11" s="2"/>
      <c r="G11" s="2"/>
      <c r="H11" s="2"/>
    </row>
    <row r="12" spans="1:8" x14ac:dyDescent="0.2">
      <c r="A12" s="14" t="s">
        <v>60</v>
      </c>
      <c r="B12" s="14" t="s">
        <v>61</v>
      </c>
      <c r="C12" s="14" t="s">
        <v>62</v>
      </c>
      <c r="D12" s="14" t="s">
        <v>63</v>
      </c>
      <c r="E12" s="14" t="s">
        <v>64</v>
      </c>
    </row>
    <row r="13" spans="1:8" x14ac:dyDescent="0.2">
      <c r="A13" s="15" t="str">
        <f>"0-"&amp;AGE30&amp;" days (Fresh)"</f>
        <v>0- days (Fresh)</v>
      </c>
      <c r="B13" s="16">
        <v>0</v>
      </c>
      <c r="C13" s="17">
        <f>AGE30</f>
        <v>0</v>
      </c>
      <c r="D13" s="18">
        <f ca="1">SUMIFS(Receiving!$K$5:$K$1004,Receiving!$L$5:$L$1004,"&gt;="&amp;B13,Receiving!$L$5:$L$1004,"&lt;="&amp;C13)+IF(AND(OpenAge&gt;=B13,OpenAge&lt;=C13),OpenVal,0)</f>
        <v>0</v>
      </c>
      <c r="E13" s="19">
        <f ca="1">IF($D$17=0,0,D13/$D$17)</f>
        <v>0</v>
      </c>
    </row>
    <row r="14" spans="1:8" x14ac:dyDescent="0.2">
      <c r="A14" s="15" t="str">
        <f>(AGE30+1)&amp;"-"&amp;AGE60&amp;" days (Watch)"</f>
        <v>1- days (Watch)</v>
      </c>
      <c r="B14" s="16">
        <f>AGE30+1</f>
        <v>1</v>
      </c>
      <c r="C14" s="17">
        <f>AGE60</f>
        <v>0</v>
      </c>
      <c r="D14" s="18">
        <f ca="1">SUMIFS(Receiving!$K$5:$K$1004,Receiving!$L$5:$L$1004,"&gt;="&amp;B14,Receiving!$L$5:$L$1004,"&lt;="&amp;C14)+IF(AND(OpenAge&gt;=B14,OpenAge&lt;=C14),OpenVal,0)</f>
        <v>0</v>
      </c>
      <c r="E14" s="19">
        <f ca="1">IF($D$17=0,0,D14/$D$17)</f>
        <v>0</v>
      </c>
    </row>
    <row r="15" spans="1:8" x14ac:dyDescent="0.2">
      <c r="A15" s="15" t="str">
        <f>(AGE60+1)&amp;"-"&amp;AGE90&amp;" days (Aging)"</f>
        <v>1- days (Aging)</v>
      </c>
      <c r="B15" s="16">
        <f>AGE60+1</f>
        <v>1</v>
      </c>
      <c r="C15" s="17">
        <f>AGE90</f>
        <v>0</v>
      </c>
      <c r="D15" s="18">
        <f ca="1">SUMIFS(Receiving!$K$5:$K$1004,Receiving!$L$5:$L$1004,"&gt;="&amp;B15,Receiving!$L$5:$L$1004,"&lt;="&amp;C15)+IF(AND(OpenAge&gt;=B15,OpenAge&lt;=C15),OpenVal,0)</f>
        <v>0</v>
      </c>
      <c r="E15" s="19">
        <f ca="1">IF($D$17=0,0,D15/$D$17)</f>
        <v>0</v>
      </c>
    </row>
    <row r="16" spans="1:8" x14ac:dyDescent="0.2">
      <c r="A16" s="15" t="str">
        <f>"Over "&amp;AGE90&amp;" days (Old)"</f>
        <v>Over  days (Old)</v>
      </c>
      <c r="B16" s="16">
        <f>AGE90+1</f>
        <v>1</v>
      </c>
      <c r="C16" s="17">
        <f>99999</f>
        <v>99999</v>
      </c>
      <c r="D16" s="18">
        <f ca="1">SUMIFS(Receiving!$K$5:$K$1004,Receiving!$L$5:$L$1004,"&gt;="&amp;B16,Receiving!$L$5:$L$1004,"&lt;="&amp;C16)+IF(AND(OpenAge&gt;=B16,OpenAge&lt;=C16),OpenVal,0)</f>
        <v>142542</v>
      </c>
      <c r="E16" s="19">
        <f ca="1">IF($D$17=0,0,D16/$D$17)</f>
        <v>1</v>
      </c>
    </row>
    <row r="17" spans="1:8" x14ac:dyDescent="0.2">
      <c r="A17" s="20" t="s">
        <v>65</v>
      </c>
      <c r="B17" s="20"/>
      <c r="C17" s="20"/>
      <c r="D17" s="21">
        <f ca="1">SUM(D13:D16)</f>
        <v>142542</v>
      </c>
      <c r="E17" s="22">
        <f ca="1">SUM(E13:E16)</f>
        <v>1</v>
      </c>
      <c r="F17" s="13" t="str">
        <f ca="1">IF(ROUND(D17-B4,2)=0,"Ties to total value","Does not tie - check data")</f>
        <v>Ties to total value</v>
      </c>
    </row>
    <row r="19" spans="1:8" x14ac:dyDescent="0.2">
      <c r="A19" s="1" t="s">
        <v>66</v>
      </c>
      <c r="B19" s="2"/>
      <c r="C19" s="2"/>
      <c r="D19" s="2"/>
      <c r="E19" s="2"/>
      <c r="F19" s="2"/>
      <c r="G19" s="2"/>
      <c r="H19" s="2"/>
    </row>
    <row r="20" spans="1:8" ht="33.75" customHeight="1" x14ac:dyDescent="0.2">
      <c r="A20" s="14" t="s">
        <v>67</v>
      </c>
      <c r="B20" s="14" t="s">
        <v>68</v>
      </c>
      <c r="C20" s="14" t="s">
        <v>69</v>
      </c>
      <c r="D20" s="14" t="s">
        <v>70</v>
      </c>
      <c r="E20" s="14" t="s">
        <v>63</v>
      </c>
      <c r="F20" s="14" t="s">
        <v>71</v>
      </c>
      <c r="G20" s="14" t="s">
        <v>72</v>
      </c>
      <c r="H20" s="14" t="s">
        <v>73</v>
      </c>
    </row>
    <row r="21" spans="1:8" x14ac:dyDescent="0.2">
      <c r="A21" s="15" t="str">
        <f>IF(Items!B5="","",Items!B5)</f>
        <v>Vanilla Ice Cream Mix</v>
      </c>
      <c r="B21" s="15" t="str">
        <f>IF(Items!A5="","",Items!A5)</f>
        <v>TNA-019</v>
      </c>
      <c r="C21" s="18">
        <f>IF(Items!A5="","",Items!C5)</f>
        <v>80</v>
      </c>
      <c r="D21" s="23">
        <f>IF(Items!A5="","",Items!G5)</f>
        <v>78</v>
      </c>
      <c r="E21" s="18">
        <f>IF(Items!A5="","",Items!H5)</f>
        <v>6240</v>
      </c>
      <c r="F21" s="24" t="str">
        <f>IF(Items!A5="","",Items!J5)</f>
        <v/>
      </c>
      <c r="G21" s="16">
        <f ca="1">IF(Items!A5="","",Items!K5)</f>
        <v>1</v>
      </c>
      <c r="H21" s="25" t="str">
        <f ca="1">IF(Items!A5="","",Items!L5)</f>
        <v>Old</v>
      </c>
    </row>
    <row r="22" spans="1:8" x14ac:dyDescent="0.2">
      <c r="A22" s="15" t="str">
        <f>IF(Items!B6="","",Items!B6)</f>
        <v>Chocolate Ice Cream Mix</v>
      </c>
      <c r="B22" s="15" t="str">
        <f>IF(Items!A6="","",Items!A6)</f>
        <v>TNA-481</v>
      </c>
      <c r="C22" s="18">
        <f>IF(Items!A6="","",Items!C6)</f>
        <v>80</v>
      </c>
      <c r="D22" s="23">
        <f>IF(Items!A6="","",Items!G6)</f>
        <v>9</v>
      </c>
      <c r="E22" s="18">
        <f>IF(Items!A6="","",Items!H6)</f>
        <v>720</v>
      </c>
      <c r="F22" s="24" t="str">
        <f>IF(Items!A6="","",Items!J6)</f>
        <v/>
      </c>
      <c r="G22" s="16">
        <f ca="1">IF(Items!A6="","",Items!K6)</f>
        <v>1</v>
      </c>
      <c r="H22" s="25" t="str">
        <f ca="1">IF(Items!A6="","",Items!L6)</f>
        <v>Old</v>
      </c>
    </row>
    <row r="23" spans="1:8" x14ac:dyDescent="0.2">
      <c r="A23" s="15" t="str">
        <f>IF(Items!B7="","",Items!B7)</f>
        <v>Strawberry Ice Cream Mix</v>
      </c>
      <c r="B23" s="15" t="str">
        <f>IF(Items!A7="","",Items!A7)</f>
        <v>TNA-083</v>
      </c>
      <c r="C23" s="18">
        <f>IF(Items!A7="","",Items!C7)</f>
        <v>80</v>
      </c>
      <c r="D23" s="23">
        <f>IF(Items!A7="","",Items!G7)</f>
        <v>0</v>
      </c>
      <c r="E23" s="18">
        <f>IF(Items!A7="","",Items!H7)</f>
        <v>0</v>
      </c>
      <c r="F23" s="24" t="str">
        <f>IF(Items!A7="","",Items!J7)</f>
        <v/>
      </c>
      <c r="G23" s="16" t="str">
        <f ca="1">IF(Items!A7="","",Items!K7)</f>
        <v/>
      </c>
      <c r="H23" s="25" t="str">
        <f>IF(Items!A7="","",Items!L7)</f>
        <v>Empty</v>
      </c>
    </row>
    <row r="24" spans="1:8" x14ac:dyDescent="0.2">
      <c r="A24" s="15" t="str">
        <f>IF(Items!B8="","",Items!B8)</f>
        <v>Rainbow Spinkles</v>
      </c>
      <c r="B24" s="15" t="str">
        <f>IF(Items!A8="","",Items!A8)</f>
        <v>TNA-032</v>
      </c>
      <c r="C24" s="18">
        <f>IF(Items!A8="","",Items!C8)</f>
        <v>700</v>
      </c>
      <c r="D24" s="23">
        <f>IF(Items!A8="","",Items!G8)</f>
        <v>130</v>
      </c>
      <c r="E24" s="18">
        <f>IF(Items!A8="","",Items!H8)</f>
        <v>91000</v>
      </c>
      <c r="F24" s="24" t="str">
        <f>IF(Items!A8="","",Items!J8)</f>
        <v/>
      </c>
      <c r="G24" s="16">
        <f ca="1">IF(Items!A8="","",Items!K8)</f>
        <v>1</v>
      </c>
      <c r="H24" s="25" t="str">
        <f ca="1">IF(Items!A8="","",Items!L8)</f>
        <v>Old</v>
      </c>
    </row>
    <row r="25" spans="1:8" x14ac:dyDescent="0.2">
      <c r="A25" s="15" t="str">
        <f>IF(Items!B9="","",Items!B9)</f>
        <v>Chocolate Syrup</v>
      </c>
      <c r="B25" s="15" t="str">
        <f>IF(Items!A9="","",Items!A9)</f>
        <v>TNA-321</v>
      </c>
      <c r="C25" s="18">
        <f>IF(Items!A9="","",Items!C9)</f>
        <v>56</v>
      </c>
      <c r="D25" s="23">
        <f>IF(Items!A9="","",Items!G9)</f>
        <v>12</v>
      </c>
      <c r="E25" s="18">
        <f>IF(Items!A9="","",Items!H9)</f>
        <v>672</v>
      </c>
      <c r="F25" s="24" t="str">
        <f>IF(Items!A9="","",Items!J9)</f>
        <v/>
      </c>
      <c r="G25" s="16">
        <f ca="1">IF(Items!A9="","",Items!K9)</f>
        <v>1</v>
      </c>
      <c r="H25" s="25" t="str">
        <f ca="1">IF(Items!A9="","",Items!L9)</f>
        <v>Old</v>
      </c>
    </row>
    <row r="26" spans="1:8" x14ac:dyDescent="0.2">
      <c r="A26" s="15" t="str">
        <f>IF(Items!B10="","",Items!B10)</f>
        <v>Caramel Sauce</v>
      </c>
      <c r="B26" s="15" t="str">
        <f>IF(Items!A10="","",Items!A10)</f>
        <v>TNA-257</v>
      </c>
      <c r="C26" s="18">
        <f>IF(Items!A10="","",Items!C10)</f>
        <v>90</v>
      </c>
      <c r="D26" s="23">
        <f>IF(Items!A10="","",Items!G10)</f>
        <v>6</v>
      </c>
      <c r="E26" s="18">
        <f>IF(Items!A10="","",Items!H10)</f>
        <v>540</v>
      </c>
      <c r="F26" s="24" t="str">
        <f>IF(Items!A10="","",Items!J10)</f>
        <v/>
      </c>
      <c r="G26" s="16">
        <f ca="1">IF(Items!A10="","",Items!K10)</f>
        <v>1</v>
      </c>
      <c r="H26" s="25" t="str">
        <f ca="1">IF(Items!A10="","",Items!L10)</f>
        <v>Old</v>
      </c>
    </row>
    <row r="27" spans="1:8" x14ac:dyDescent="0.2">
      <c r="A27" s="15" t="str">
        <f>IF(Items!B11="","",Items!B11)</f>
        <v>Cruched Oreo Cookies</v>
      </c>
      <c r="B27" s="15" t="str">
        <f>IF(Items!A11="","",Items!A11)</f>
        <v>TNA-05</v>
      </c>
      <c r="C27" s="18">
        <f>IF(Items!A11="","",Items!C11)</f>
        <v>150</v>
      </c>
      <c r="D27" s="23">
        <f>IF(Items!A11="","",Items!G11)</f>
        <v>253</v>
      </c>
      <c r="E27" s="18">
        <f>IF(Items!A11="","",Items!H11)</f>
        <v>37950</v>
      </c>
      <c r="F27" s="24" t="str">
        <f>IF(Items!A11="","",Items!J11)</f>
        <v/>
      </c>
      <c r="G27" s="16">
        <f ca="1">IF(Items!A11="","",Items!K11)</f>
        <v>1</v>
      </c>
      <c r="H27" s="25" t="str">
        <f ca="1">IF(Items!A11="","",Items!L11)</f>
        <v>Old</v>
      </c>
    </row>
    <row r="28" spans="1:8" x14ac:dyDescent="0.2">
      <c r="A28" s="15" t="str">
        <f>IF(Items!B12="","",Items!B12)</f>
        <v>Choppped Peanuts</v>
      </c>
      <c r="B28" s="15" t="str">
        <f>IF(Items!A12="","",Items!A12)</f>
        <v>TNA-017</v>
      </c>
      <c r="C28" s="18">
        <f>IF(Items!A12="","",Items!C12)</f>
        <v>75</v>
      </c>
      <c r="D28" s="23">
        <f>IF(Items!A12="","",Items!G12)</f>
        <v>40</v>
      </c>
      <c r="E28" s="18">
        <f>IF(Items!A12="","",Items!H12)</f>
        <v>3000</v>
      </c>
      <c r="F28" s="24" t="str">
        <f>IF(Items!A12="","",Items!J12)</f>
        <v/>
      </c>
      <c r="G28" s="16">
        <f ca="1">IF(Items!A12="","",Items!K12)</f>
        <v>1</v>
      </c>
      <c r="H28" s="25" t="str">
        <f ca="1">IF(Items!A12="","",Items!L12)</f>
        <v>Old</v>
      </c>
    </row>
    <row r="29" spans="1:8" x14ac:dyDescent="0.2">
      <c r="A29" s="15" t="str">
        <f>IF(Items!B13="","",Items!B13)</f>
        <v>Waffle Cones</v>
      </c>
      <c r="B29" s="15" t="str">
        <f>IF(Items!A13="","",Items!A13)</f>
        <v>TNA-045</v>
      </c>
      <c r="C29" s="18">
        <f>IF(Items!A13="","",Items!C13)</f>
        <v>30</v>
      </c>
      <c r="D29" s="23">
        <f>IF(Items!A13="","",Items!G13)</f>
        <v>3</v>
      </c>
      <c r="E29" s="18">
        <f>IF(Items!A13="","",Items!H13)</f>
        <v>90</v>
      </c>
      <c r="F29" s="24" t="str">
        <f>IF(Items!A13="","",Items!J13)</f>
        <v/>
      </c>
      <c r="G29" s="16">
        <f ca="1">IF(Items!A13="","",Items!K13)</f>
        <v>1</v>
      </c>
      <c r="H29" s="25" t="str">
        <f ca="1">IF(Items!A13="","",Items!L13)</f>
        <v>Old</v>
      </c>
    </row>
    <row r="30" spans="1:8" x14ac:dyDescent="0.2">
      <c r="A30" s="15" t="str">
        <f>IF(Items!B14="","",Items!B14)</f>
        <v>Sugar Cones</v>
      </c>
      <c r="B30" s="15" t="str">
        <f>IF(Items!A14="","",Items!A14)</f>
        <v>TNA-900</v>
      </c>
      <c r="C30" s="18">
        <f>IF(Items!A14="","",Items!C14)</f>
        <v>45</v>
      </c>
      <c r="D30" s="23">
        <f>IF(Items!A14="","",Items!G14)</f>
        <v>0</v>
      </c>
      <c r="E30" s="18">
        <f>IF(Items!A14="","",Items!H14)</f>
        <v>0</v>
      </c>
      <c r="F30" s="24" t="str">
        <f>IF(Items!A14="","",Items!J14)</f>
        <v/>
      </c>
      <c r="G30" s="16" t="str">
        <f ca="1">IF(Items!A14="","",Items!K14)</f>
        <v/>
      </c>
      <c r="H30" s="25" t="str">
        <f>IF(Items!A14="","",Items!L14)</f>
        <v>Empty</v>
      </c>
    </row>
    <row r="31" spans="1:8" x14ac:dyDescent="0.2">
      <c r="A31" s="15" t="str">
        <f>IF(Items!B15="","",Items!B15)</f>
        <v>Ice Cream Cups</v>
      </c>
      <c r="B31" s="15" t="str">
        <f>IF(Items!A15="","",Items!A15)</f>
        <v>TNA-067</v>
      </c>
      <c r="C31" s="18">
        <f>IF(Items!A15="","",Items!C15)</f>
        <v>55</v>
      </c>
      <c r="D31" s="23">
        <f>IF(Items!A15="","",Items!G15)</f>
        <v>22</v>
      </c>
      <c r="E31" s="18">
        <f>IF(Items!A15="","",Items!H15)</f>
        <v>1210</v>
      </c>
      <c r="F31" s="24" t="str">
        <f>IF(Items!A15="","",Items!J15)</f>
        <v/>
      </c>
      <c r="G31" s="16">
        <f ca="1">IF(Items!A15="","",Items!K15)</f>
        <v>1</v>
      </c>
      <c r="H31" s="25" t="str">
        <f ca="1">IF(Items!A15="","",Items!L15)</f>
        <v>Old</v>
      </c>
    </row>
    <row r="32" spans="1:8" x14ac:dyDescent="0.2">
      <c r="A32" s="15" t="str">
        <f>IF(Items!B16="","",Items!B16)</f>
        <v>Plastic Ice Cream Spoons</v>
      </c>
      <c r="B32" s="15" t="str">
        <f>IF(Items!A16="","",Items!A16)</f>
        <v>TNA-787</v>
      </c>
      <c r="C32" s="18">
        <f>IF(Items!A16="","",Items!C16)</f>
        <v>30</v>
      </c>
      <c r="D32" s="23">
        <f>IF(Items!A16="","",Items!G16)</f>
        <v>4</v>
      </c>
      <c r="E32" s="18">
        <f>IF(Items!A16="","",Items!H16)</f>
        <v>120</v>
      </c>
      <c r="F32" s="24" t="str">
        <f>IF(Items!A16="","",Items!J16)</f>
        <v/>
      </c>
      <c r="G32" s="16">
        <f ca="1">IF(Items!A16="","",Items!K16)</f>
        <v>1</v>
      </c>
      <c r="H32" s="25" t="str">
        <f ca="1">IF(Items!A16="","",Items!L16)</f>
        <v>Old</v>
      </c>
    </row>
    <row r="33" spans="1:8" x14ac:dyDescent="0.2">
      <c r="A33" s="15" t="str">
        <f>IF(Items!B17="","",Items!B17)</f>
        <v>Disposable Gloves</v>
      </c>
      <c r="B33" s="15" t="str">
        <f>IF(Items!A17="","",Items!A17)</f>
        <v>TNA-086</v>
      </c>
      <c r="C33" s="18">
        <f>IF(Items!A17="","",Items!C17)</f>
        <v>20</v>
      </c>
      <c r="D33" s="23">
        <f>IF(Items!A17="","",Items!G17)</f>
        <v>50</v>
      </c>
      <c r="E33" s="18">
        <f>IF(Items!A17="","",Items!H17)</f>
        <v>1000</v>
      </c>
      <c r="F33" s="24" t="str">
        <f>IF(Items!A17="","",Items!J17)</f>
        <v/>
      </c>
      <c r="G33" s="16">
        <f ca="1">IF(Items!A17="","",Items!K17)</f>
        <v>1</v>
      </c>
      <c r="H33" s="25" t="str">
        <f ca="1">IF(Items!A17="","",Items!L17)</f>
        <v>Old</v>
      </c>
    </row>
    <row r="34" spans="1:8" x14ac:dyDescent="0.2">
      <c r="A34" s="15" t="str">
        <f>IF(Items!B18="","",Items!B18)</f>
        <v/>
      </c>
      <c r="B34" s="15" t="str">
        <f>IF(Items!A18="","",Items!A18)</f>
        <v/>
      </c>
      <c r="C34" s="18" t="str">
        <f>IF(Items!A18="","",Items!C18)</f>
        <v/>
      </c>
      <c r="D34" s="23" t="str">
        <f>IF(Items!A18="","",Items!G18)</f>
        <v/>
      </c>
      <c r="E34" s="18" t="str">
        <f>IF(Items!A18="","",Items!H18)</f>
        <v/>
      </c>
      <c r="F34" s="24" t="str">
        <f>IF(Items!A18="","",Items!J18)</f>
        <v/>
      </c>
      <c r="G34" s="16" t="str">
        <f>IF(Items!A18="","",Items!K18)</f>
        <v/>
      </c>
      <c r="H34" s="25" t="str">
        <f>IF(Items!A18="","",Items!L18)</f>
        <v/>
      </c>
    </row>
    <row r="35" spans="1:8" x14ac:dyDescent="0.2">
      <c r="A35" s="15" t="str">
        <f>IF(Items!B19="","",Items!B19)</f>
        <v/>
      </c>
      <c r="B35" s="15" t="str">
        <f>IF(Items!A19="","",Items!A19)</f>
        <v/>
      </c>
      <c r="C35" s="18" t="str">
        <f>IF(Items!A19="","",Items!C19)</f>
        <v/>
      </c>
      <c r="D35" s="23" t="str">
        <f>IF(Items!A19="","",Items!G19)</f>
        <v/>
      </c>
      <c r="E35" s="18" t="str">
        <f>IF(Items!A19="","",Items!H19)</f>
        <v/>
      </c>
      <c r="F35" s="24" t="str">
        <f>IF(Items!A19="","",Items!J19)</f>
        <v/>
      </c>
      <c r="G35" s="16" t="str">
        <f>IF(Items!A19="","",Items!K19)</f>
        <v/>
      </c>
      <c r="H35" s="25" t="str">
        <f>IF(Items!A19="","",Items!L19)</f>
        <v/>
      </c>
    </row>
    <row r="36" spans="1:8" x14ac:dyDescent="0.2">
      <c r="A36" s="20" t="s">
        <v>65</v>
      </c>
      <c r="B36" s="20"/>
      <c r="C36" s="20"/>
      <c r="D36" s="20"/>
      <c r="E36" s="21">
        <f>SUM(E21:E35)</f>
        <v>142542</v>
      </c>
      <c r="F36" s="20"/>
      <c r="G36" s="20"/>
      <c r="H36" s="20"/>
    </row>
  </sheetData>
  <sheetProtection formatColumns="0" formatRows="0" sort="0" autoFilter="0"/>
  <mergeCells count="8">
    <mergeCell ref="B7:C7"/>
    <mergeCell ref="B8:C8"/>
    <mergeCell ref="B9:C9"/>
    <mergeCell ref="A1:H1"/>
    <mergeCell ref="A2:H2"/>
    <mergeCell ref="B4:C4"/>
    <mergeCell ref="B5:C5"/>
    <mergeCell ref="B6:C6"/>
  </mergeCells>
  <conditionalFormatting sqref="B9:C9">
    <cfRule type="expression" dxfId="21" priority="9">
      <formula>LEFT($B$9,5)="CHECK"</formula>
    </cfRule>
  </conditionalFormatting>
  <conditionalFormatting sqref="H21:H35">
    <cfRule type="expression" dxfId="20" priority="2">
      <formula>$H21="Fresh"</formula>
    </cfRule>
    <cfRule type="expression" dxfId="19" priority="3">
      <formula>$H21="Watch"</formula>
    </cfRule>
    <cfRule type="expression" dxfId="18" priority="4">
      <formula>$H21="Aging"</formula>
    </cfRule>
    <cfRule type="expression" dxfId="17" priority="5">
      <formula>$H21="Old"</formula>
    </cfRule>
    <cfRule type="expression" dxfId="16" priority="6">
      <formula>$H21="CHECK COUNT"</formula>
    </cfRule>
    <cfRule type="expression" dxfId="15" priority="7">
      <formula>$H21="Empty"</formula>
    </cfRule>
    <cfRule type="expression" dxfId="14" priority="8">
      <formula>$H21="Shipped"</formula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8" sqref="C18"/>
    </sheetView>
  </sheetViews>
  <sheetFormatPr baseColWidth="10" defaultColWidth="8.6640625" defaultRowHeight="15" x14ac:dyDescent="0.2"/>
  <cols>
    <col min="1" max="1" width="13" customWidth="1"/>
    <col min="2" max="2" width="52" customWidth="1"/>
    <col min="3" max="3" width="13" customWidth="1"/>
    <col min="4" max="4" width="14" customWidth="1"/>
    <col min="5" max="5" width="16" customWidth="1"/>
    <col min="6" max="6" width="17" customWidth="1"/>
    <col min="7" max="7" width="11" customWidth="1"/>
    <col min="8" max="8" width="16" customWidth="1"/>
    <col min="9" max="9" width="14" customWidth="1"/>
    <col min="10" max="11" width="18" customWidth="1"/>
    <col min="12" max="12" width="14" customWidth="1"/>
  </cols>
  <sheetData>
    <row r="1" spans="1:12" ht="33.75" customHeight="1" x14ac:dyDescent="0.2">
      <c r="A1" s="39" t="s">
        <v>74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30" customHeight="1" x14ac:dyDescent="0.2">
      <c r="A2" s="40" t="s">
        <v>75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4" spans="1:12" ht="42" customHeight="1" x14ac:dyDescent="0.2">
      <c r="A4" s="14" t="s">
        <v>68</v>
      </c>
      <c r="B4" s="14" t="s">
        <v>76</v>
      </c>
      <c r="C4" s="14" t="s">
        <v>69</v>
      </c>
      <c r="D4" s="14" t="s">
        <v>77</v>
      </c>
      <c r="E4" s="26" t="s">
        <v>78</v>
      </c>
      <c r="F4" s="26" t="s">
        <v>79</v>
      </c>
      <c r="G4" s="26" t="s">
        <v>70</v>
      </c>
      <c r="H4" s="26" t="s">
        <v>80</v>
      </c>
      <c r="I4" s="26" t="s">
        <v>81</v>
      </c>
      <c r="J4" s="26" t="s">
        <v>71</v>
      </c>
      <c r="K4" s="26" t="s">
        <v>72</v>
      </c>
      <c r="L4" s="26" t="s">
        <v>73</v>
      </c>
    </row>
    <row r="5" spans="1:12" x14ac:dyDescent="0.2">
      <c r="A5" s="27" t="s">
        <v>122</v>
      </c>
      <c r="B5" s="27" t="s">
        <v>135</v>
      </c>
      <c r="C5" s="28">
        <v>80</v>
      </c>
      <c r="D5" s="29">
        <v>78</v>
      </c>
      <c r="E5" s="23">
        <f>IF($A5="","",SUMIFS(Receiving!$D$5:$D$1004,Receiving!$B$5:$B$1004,$A5))</f>
        <v>0</v>
      </c>
      <c r="F5" s="23">
        <f t="shared" ref="F5:F19" si="0">IF($A5="","",TotalShipped)</f>
        <v>0</v>
      </c>
      <c r="G5" s="23">
        <f t="shared" ref="G5:G19" si="1">IF($A5="","",D5+E5-F5)</f>
        <v>78</v>
      </c>
      <c r="H5" s="18">
        <f t="shared" ref="H5:H19" si="2">IF($A5="","",MAX(0,G5)*C5)</f>
        <v>6240</v>
      </c>
      <c r="I5" s="23">
        <f t="shared" ref="I5:I19" si="3">IF($A5="","",MAX(0,D5-TotalShipped))</f>
        <v>78</v>
      </c>
      <c r="J5" s="30" t="str">
        <f>IF(OR($A5="",TotalShipped=0),"",(ShipDateUnits-(MIN(D5,TotalShipped)*StartDate+SUMIFS(Receiving!$N$5:$N$1004,Receiving!$B$5:$B$1004,$A5)))/TotalShipped)</f>
        <v/>
      </c>
      <c r="K5" s="31">
        <f ca="1">IF(OR($A5="",G5&lt;=0),"",TODAY()-IF(I5&gt;0,StartDate,_xlfn.MINIFS(Receiving!$A$5:$A$1004,Receiving!$B$5:$B$1004,$A5,Receiving!$I$5:$I$1004,"&gt;0")))</f>
        <v>1</v>
      </c>
      <c r="L5" s="25" t="str">
        <f ca="1">IF($A5="","",IF(G5&lt;0,"CHECK COUNT",IF(G5=0,"Empty",IF(K5&lt;=AGE30,"Fresh",IF(K5&lt;=AGE60,"Watch",IF(K5&lt;=AGE90,"Aging","Old"))))))</f>
        <v>Old</v>
      </c>
    </row>
    <row r="6" spans="1:12" x14ac:dyDescent="0.2">
      <c r="A6" s="27" t="s">
        <v>123</v>
      </c>
      <c r="B6" s="27" t="s">
        <v>136</v>
      </c>
      <c r="C6" s="28">
        <v>80</v>
      </c>
      <c r="D6" s="29">
        <v>9</v>
      </c>
      <c r="E6" s="23">
        <f>IF($A6="","",SUMIFS(Receiving!$D$5:$D$1004,Receiving!$B$5:$B$1004,$A6))</f>
        <v>0</v>
      </c>
      <c r="F6" s="23">
        <f t="shared" si="0"/>
        <v>0</v>
      </c>
      <c r="G6" s="23">
        <f t="shared" si="1"/>
        <v>9</v>
      </c>
      <c r="H6" s="18">
        <f t="shared" si="2"/>
        <v>720</v>
      </c>
      <c r="I6" s="23">
        <f t="shared" si="3"/>
        <v>9</v>
      </c>
      <c r="J6" s="30" t="str">
        <f>IF(OR($A6="",TotalShipped=0),"",(ShipDateUnits-(MIN(D6,TotalShipped)*StartDate+SUMIFS(Receiving!$N$5:$N$1004,Receiving!$B$5:$B$1004,$A6)))/TotalShipped)</f>
        <v/>
      </c>
      <c r="K6" s="31">
        <f ca="1">IF(OR($A6="",G6&lt;=0),"",TODAY()-IF(I6&gt;0,StartDate,_xlfn.MINIFS(Receiving!$A$5:$A$1004,Receiving!$B$5:$B$1004,$A6,Receiving!$I$5:$I$1004,"&gt;0")))</f>
        <v>1</v>
      </c>
      <c r="L6" s="25" t="str">
        <f ca="1">IF($A6="","",IF(G6&lt;0,"CHECK COUNT",IF(G6=0,"Empty",IF(K6&lt;=AGE30,"Fresh",IF(K6&lt;=AGE60,"Watch",IF(K6&lt;=AGE90,"Aging","Old"))))))</f>
        <v>Old</v>
      </c>
    </row>
    <row r="7" spans="1:12" x14ac:dyDescent="0.2">
      <c r="A7" s="27" t="s">
        <v>124</v>
      </c>
      <c r="B7" s="27" t="s">
        <v>137</v>
      </c>
      <c r="C7" s="28">
        <v>80</v>
      </c>
      <c r="D7" s="29">
        <v>0</v>
      </c>
      <c r="E7" s="23">
        <f>IF($A7="","",SUMIFS(Receiving!$D$5:$D$1004,Receiving!$B$5:$B$1004,$A7))</f>
        <v>0</v>
      </c>
      <c r="F7" s="23">
        <f t="shared" si="0"/>
        <v>0</v>
      </c>
      <c r="G7" s="23">
        <f t="shared" si="1"/>
        <v>0</v>
      </c>
      <c r="H7" s="18">
        <f t="shared" si="2"/>
        <v>0</v>
      </c>
      <c r="I7" s="23">
        <f t="shared" si="3"/>
        <v>0</v>
      </c>
      <c r="J7" s="30" t="str">
        <f>IF(OR($A7="",TotalShipped=0),"",(ShipDateUnits-(MIN(D7,TotalShipped)*StartDate+SUMIFS(Receiving!$N$5:$N$1004,Receiving!$B$5:$B$1004,$A7)))/TotalShipped)</f>
        <v/>
      </c>
      <c r="K7" s="31" t="str">
        <f ca="1">IF(OR($A7="",G7&lt;=0),"",TODAY()-IF(I7&gt;0,StartDate,_xlfn.MINIFS(Receiving!$A$5:$A$1004,Receiving!$B$5:$B$1004,$A7,Receiving!$I$5:$I$1004,"&gt;0")))</f>
        <v/>
      </c>
      <c r="L7" s="25" t="str">
        <f>IF($A7="","",IF(G7&lt;0,"CHECK COUNT",IF(G7=0,"Empty",IF(K7&lt;=AGE30,"Fresh",IF(K7&lt;=AGE60,"Watch",IF(K7&lt;=AGE90,"Aging","Old"))))))</f>
        <v>Empty</v>
      </c>
    </row>
    <row r="8" spans="1:12" x14ac:dyDescent="0.2">
      <c r="A8" s="27" t="s">
        <v>125</v>
      </c>
      <c r="B8" s="27" t="s">
        <v>138</v>
      </c>
      <c r="C8" s="28">
        <v>700</v>
      </c>
      <c r="D8" s="29">
        <v>130</v>
      </c>
      <c r="E8" s="23">
        <f>IF($A8="","",SUMIFS(Receiving!$D$5:$D$1004,Receiving!$B$5:$B$1004,$A8))</f>
        <v>0</v>
      </c>
      <c r="F8" s="23">
        <f t="shared" si="0"/>
        <v>0</v>
      </c>
      <c r="G8" s="23">
        <f t="shared" si="1"/>
        <v>130</v>
      </c>
      <c r="H8" s="18">
        <f t="shared" si="2"/>
        <v>91000</v>
      </c>
      <c r="I8" s="23">
        <f t="shared" si="3"/>
        <v>130</v>
      </c>
      <c r="J8" s="30" t="str">
        <f>IF(OR($A8="",TotalShipped=0),"",(ShipDateUnits-(MIN(D8,TotalShipped)*StartDate+SUMIFS(Receiving!$N$5:$N$1004,Receiving!$B$5:$B$1004,$A8)))/TotalShipped)</f>
        <v/>
      </c>
      <c r="K8" s="31">
        <f ca="1">IF(OR($A8="",G8&lt;=0),"",TODAY()-IF(I8&gt;0,StartDate,_xlfn.MINIFS(Receiving!$A$5:$A$1004,Receiving!$B$5:$B$1004,$A8,Receiving!$I$5:$I$1004,"&gt;0")))</f>
        <v>1</v>
      </c>
      <c r="L8" s="25" t="str">
        <f ca="1">IF($A8="","",IF(G8&lt;0,"CHECK COUNT",IF(G8=0,"Empty",IF(K8&lt;=AGE30,"Fresh",IF(K8&lt;=AGE60,"Watch",IF(K8&lt;=AGE90,"Aging","Old"))))))</f>
        <v>Old</v>
      </c>
    </row>
    <row r="9" spans="1:12" x14ac:dyDescent="0.2">
      <c r="A9" s="27" t="s">
        <v>126</v>
      </c>
      <c r="B9" s="27" t="s">
        <v>139</v>
      </c>
      <c r="C9" s="28">
        <v>56</v>
      </c>
      <c r="D9" s="29">
        <v>12</v>
      </c>
      <c r="E9" s="23">
        <f>IF($A9="","",SUMIFS(Receiving!$D$5:$D$1004,Receiving!$B$5:$B$1004,$A9))</f>
        <v>0</v>
      </c>
      <c r="F9" s="23">
        <f t="shared" si="0"/>
        <v>0</v>
      </c>
      <c r="G9" s="23">
        <f t="shared" si="1"/>
        <v>12</v>
      </c>
      <c r="H9" s="18">
        <f t="shared" si="2"/>
        <v>672</v>
      </c>
      <c r="I9" s="23">
        <f t="shared" si="3"/>
        <v>12</v>
      </c>
      <c r="J9" s="30" t="str">
        <f>IF(OR($A9="",TotalShipped=0),"",(ShipDateUnits-(MIN(D9,TotalShipped)*StartDate+SUMIFS(Receiving!$N$5:$N$1004,Receiving!$B$5:$B$1004,$A9)))/TotalShipped)</f>
        <v/>
      </c>
      <c r="K9" s="31">
        <f ca="1">IF(OR($A9="",G9&lt;=0),"",TODAY()-IF(I9&gt;0,StartDate,_xlfn.MINIFS(Receiving!$A$5:$A$1004,Receiving!$B$5:$B$1004,$A9,Receiving!$I$5:$I$1004,"&gt;0")))</f>
        <v>1</v>
      </c>
      <c r="L9" s="25" t="str">
        <f ca="1">IF($A9="","",IF(G9&lt;0,"CHECK COUNT",IF(G9=0,"Empty",IF(K9&lt;=AGE30,"Fresh",IF(K9&lt;=AGE60,"Watch",IF(K9&lt;=AGE90,"Aging","Old"))))))</f>
        <v>Old</v>
      </c>
    </row>
    <row r="10" spans="1:12" x14ac:dyDescent="0.2">
      <c r="A10" s="27" t="s">
        <v>127</v>
      </c>
      <c r="B10" s="27" t="s">
        <v>140</v>
      </c>
      <c r="C10" s="28">
        <v>90</v>
      </c>
      <c r="D10" s="29">
        <v>6</v>
      </c>
      <c r="E10" s="23">
        <f>IF($A10="","",SUMIFS(Receiving!$D$5:$D$1004,Receiving!$B$5:$B$1004,$A10))</f>
        <v>0</v>
      </c>
      <c r="F10" s="23">
        <f t="shared" si="0"/>
        <v>0</v>
      </c>
      <c r="G10" s="23">
        <f t="shared" si="1"/>
        <v>6</v>
      </c>
      <c r="H10" s="18">
        <f t="shared" si="2"/>
        <v>540</v>
      </c>
      <c r="I10" s="23">
        <f t="shared" si="3"/>
        <v>6</v>
      </c>
      <c r="J10" s="30" t="str">
        <f>IF(OR($A10="",TotalShipped=0),"",(ShipDateUnits-(MIN(D10,TotalShipped)*StartDate+SUMIFS(Receiving!$N$5:$N$1004,Receiving!$B$5:$B$1004,$A10)))/TotalShipped)</f>
        <v/>
      </c>
      <c r="K10" s="31">
        <f ca="1">IF(OR($A10="",G10&lt;=0),"",TODAY()-IF(I10&gt;0,StartDate,_xlfn.MINIFS(Receiving!$A$5:$A$1004,Receiving!$B$5:$B$1004,$A10,Receiving!$I$5:$I$1004,"&gt;0")))</f>
        <v>1</v>
      </c>
      <c r="L10" s="25" t="str">
        <f ca="1">IF($A10="","",IF(G10&lt;0,"CHECK COUNT",IF(G10=0,"Empty",IF(K10&lt;=AGE30,"Fresh",IF(K10&lt;=AGE60,"Watch",IF(K10&lt;=AGE90,"Aging","Old"))))))</f>
        <v>Old</v>
      </c>
    </row>
    <row r="11" spans="1:12" x14ac:dyDescent="0.2">
      <c r="A11" s="27" t="s">
        <v>128</v>
      </c>
      <c r="B11" s="27" t="s">
        <v>141</v>
      </c>
      <c r="C11" s="28">
        <v>150</v>
      </c>
      <c r="D11" s="29">
        <v>253</v>
      </c>
      <c r="E11" s="23">
        <f>IF($A11="","",SUMIFS(Receiving!$D$5:$D$1004,Receiving!$B$5:$B$1004,$A11))</f>
        <v>0</v>
      </c>
      <c r="F11" s="23">
        <f t="shared" si="0"/>
        <v>0</v>
      </c>
      <c r="G11" s="23">
        <f t="shared" si="1"/>
        <v>253</v>
      </c>
      <c r="H11" s="18">
        <f t="shared" si="2"/>
        <v>37950</v>
      </c>
      <c r="I11" s="23">
        <f t="shared" si="3"/>
        <v>253</v>
      </c>
      <c r="J11" s="30" t="str">
        <f>IF(OR($A11="",TotalShipped=0),"",(ShipDateUnits-(MIN(D11,TotalShipped)*StartDate+SUMIFS(Receiving!$N$5:$N$1004,Receiving!$B$5:$B$1004,$A11)))/TotalShipped)</f>
        <v/>
      </c>
      <c r="K11" s="31">
        <f ca="1">IF(OR($A11="",G11&lt;=0),"",TODAY()-IF(I11&gt;0,StartDate,_xlfn.MINIFS(Receiving!$A$5:$A$1004,Receiving!$B$5:$B$1004,$A11,Receiving!$I$5:$I$1004,"&gt;0")))</f>
        <v>1</v>
      </c>
      <c r="L11" s="25" t="str">
        <f ca="1">IF($A11="","",IF(G11&lt;0,"CHECK COUNT",IF(G11=0,"Empty",IF(K11&lt;=AGE30,"Fresh",IF(K11&lt;=AGE60,"Watch",IF(K11&lt;=AGE90,"Aging","Old"))))))</f>
        <v>Old</v>
      </c>
    </row>
    <row r="12" spans="1:12" x14ac:dyDescent="0.2">
      <c r="A12" s="27" t="s">
        <v>129</v>
      </c>
      <c r="B12" s="27" t="s">
        <v>142</v>
      </c>
      <c r="C12" s="28">
        <v>75</v>
      </c>
      <c r="D12" s="29">
        <v>40</v>
      </c>
      <c r="E12" s="23">
        <f>IF($A12="","",SUMIFS(Receiving!$D$5:$D$1004,Receiving!$B$5:$B$1004,$A12))</f>
        <v>0</v>
      </c>
      <c r="F12" s="23">
        <f t="shared" si="0"/>
        <v>0</v>
      </c>
      <c r="G12" s="23">
        <f t="shared" si="1"/>
        <v>40</v>
      </c>
      <c r="H12" s="18">
        <f t="shared" si="2"/>
        <v>3000</v>
      </c>
      <c r="I12" s="23">
        <f t="shared" si="3"/>
        <v>40</v>
      </c>
      <c r="J12" s="30" t="str">
        <f>IF(OR($A12="",TotalShipped=0),"",(ShipDateUnits-(MIN(D12,TotalShipped)*StartDate+SUMIFS(Receiving!$N$5:$N$1004,Receiving!$B$5:$B$1004,$A12)))/TotalShipped)</f>
        <v/>
      </c>
      <c r="K12" s="31">
        <f ca="1">IF(OR($A12="",G12&lt;=0),"",TODAY()-IF(I12&gt;0,StartDate,_xlfn.MINIFS(Receiving!$A$5:$A$1004,Receiving!$B$5:$B$1004,$A12,Receiving!$I$5:$I$1004,"&gt;0")))</f>
        <v>1</v>
      </c>
      <c r="L12" s="25" t="str">
        <f ca="1">IF($A12="","",IF(G12&lt;0,"CHECK COUNT",IF(G12=0,"Empty",IF(K12&lt;=AGE30,"Fresh",IF(K12&lt;=AGE60,"Watch",IF(K12&lt;=AGE90,"Aging","Old"))))))</f>
        <v>Old</v>
      </c>
    </row>
    <row r="13" spans="1:12" x14ac:dyDescent="0.2">
      <c r="A13" s="27" t="s">
        <v>130</v>
      </c>
      <c r="B13" s="27" t="s">
        <v>143</v>
      </c>
      <c r="C13" s="28">
        <v>30</v>
      </c>
      <c r="D13" s="29">
        <v>3</v>
      </c>
      <c r="E13" s="23">
        <f>IF($A13="","",SUMIFS(Receiving!$D$5:$D$1004,Receiving!$B$5:$B$1004,$A13))</f>
        <v>0</v>
      </c>
      <c r="F13" s="23">
        <f t="shared" si="0"/>
        <v>0</v>
      </c>
      <c r="G13" s="23">
        <f t="shared" si="1"/>
        <v>3</v>
      </c>
      <c r="H13" s="18">
        <f t="shared" si="2"/>
        <v>90</v>
      </c>
      <c r="I13" s="23">
        <f t="shared" si="3"/>
        <v>3</v>
      </c>
      <c r="J13" s="30" t="str">
        <f>IF(OR($A13="",TotalShipped=0),"",(ShipDateUnits-(MIN(D13,TotalShipped)*StartDate+SUMIFS(Receiving!$N$5:$N$1004,Receiving!$B$5:$B$1004,$A13)))/TotalShipped)</f>
        <v/>
      </c>
      <c r="K13" s="31">
        <f ca="1">IF(OR($A13="",G13&lt;=0),"",TODAY()-IF(I13&gt;0,StartDate,_xlfn.MINIFS(Receiving!$A$5:$A$1004,Receiving!$B$5:$B$1004,$A13,Receiving!$I$5:$I$1004,"&gt;0")))</f>
        <v>1</v>
      </c>
      <c r="L13" s="25" t="str">
        <f ca="1">IF($A13="","",IF(G13&lt;0,"CHECK COUNT",IF(G13=0,"Empty",IF(K13&lt;=AGE30,"Fresh",IF(K13&lt;=AGE60,"Watch",IF(K13&lt;=AGE90,"Aging","Old"))))))</f>
        <v>Old</v>
      </c>
    </row>
    <row r="14" spans="1:12" x14ac:dyDescent="0.2">
      <c r="A14" s="27" t="s">
        <v>131</v>
      </c>
      <c r="B14" s="27" t="s">
        <v>144</v>
      </c>
      <c r="C14" s="28">
        <v>45</v>
      </c>
      <c r="D14" s="29">
        <v>0</v>
      </c>
      <c r="E14" s="23">
        <f>IF($A14="","",SUMIFS(Receiving!$D$5:$D$1004,Receiving!$B$5:$B$1004,$A14))</f>
        <v>0</v>
      </c>
      <c r="F14" s="23">
        <f t="shared" si="0"/>
        <v>0</v>
      </c>
      <c r="G14" s="23">
        <f t="shared" si="1"/>
        <v>0</v>
      </c>
      <c r="H14" s="18">
        <f t="shared" si="2"/>
        <v>0</v>
      </c>
      <c r="I14" s="23">
        <f t="shared" si="3"/>
        <v>0</v>
      </c>
      <c r="J14" s="30" t="str">
        <f>IF(OR($A14="",TotalShipped=0),"",(ShipDateUnits-(MIN(D14,TotalShipped)*StartDate+SUMIFS(Receiving!$N$5:$N$1004,Receiving!$B$5:$B$1004,$A14)))/TotalShipped)</f>
        <v/>
      </c>
      <c r="K14" s="31" t="str">
        <f ca="1">IF(OR($A14="",G14&lt;=0),"",TODAY()-IF(I14&gt;0,StartDate,_xlfn.MINIFS(Receiving!$A$5:$A$1004,Receiving!$B$5:$B$1004,$A14,Receiving!$I$5:$I$1004,"&gt;0")))</f>
        <v/>
      </c>
      <c r="L14" s="25" t="str">
        <f>IF($A14="","",IF(G14&lt;0,"CHECK COUNT",IF(G14=0,"Empty",IF(K14&lt;=AGE30,"Fresh",IF(K14&lt;=AGE60,"Watch",IF(K14&lt;=AGE90,"Aging","Old"))))))</f>
        <v>Empty</v>
      </c>
    </row>
    <row r="15" spans="1:12" x14ac:dyDescent="0.2">
      <c r="A15" s="27" t="s">
        <v>132</v>
      </c>
      <c r="B15" s="27" t="s">
        <v>145</v>
      </c>
      <c r="C15" s="28">
        <v>55</v>
      </c>
      <c r="D15" s="29">
        <v>22</v>
      </c>
      <c r="E15" s="23">
        <f>IF($A15="","",SUMIFS(Receiving!$D$5:$D$1004,Receiving!$B$5:$B$1004,$A15))</f>
        <v>0</v>
      </c>
      <c r="F15" s="23">
        <f t="shared" si="0"/>
        <v>0</v>
      </c>
      <c r="G15" s="23">
        <f t="shared" si="1"/>
        <v>22</v>
      </c>
      <c r="H15" s="18">
        <f t="shared" si="2"/>
        <v>1210</v>
      </c>
      <c r="I15" s="23">
        <f t="shared" si="3"/>
        <v>22</v>
      </c>
      <c r="J15" s="30" t="str">
        <f>IF(OR($A15="",TotalShipped=0),"",(ShipDateUnits-(MIN(D15,TotalShipped)*StartDate+SUMIFS(Receiving!$N$5:$N$1004,Receiving!$B$5:$B$1004,$A15)))/TotalShipped)</f>
        <v/>
      </c>
      <c r="K15" s="31">
        <f ca="1">IF(OR($A15="",G15&lt;=0),"",TODAY()-IF(I15&gt;0,StartDate,_xlfn.MINIFS(Receiving!$A$5:$A$1004,Receiving!$B$5:$B$1004,$A15,Receiving!$I$5:$I$1004,"&gt;0")))</f>
        <v>1</v>
      </c>
      <c r="L15" s="25" t="str">
        <f ca="1">IF($A15="","",IF(G15&lt;0,"CHECK COUNT",IF(G15=0,"Empty",IF(K15&lt;=AGE30,"Fresh",IF(K15&lt;=AGE60,"Watch",IF(K15&lt;=AGE90,"Aging","Old"))))))</f>
        <v>Old</v>
      </c>
    </row>
    <row r="16" spans="1:12" x14ac:dyDescent="0.2">
      <c r="A16" s="27" t="s">
        <v>133</v>
      </c>
      <c r="B16" s="27" t="s">
        <v>146</v>
      </c>
      <c r="C16" s="28">
        <v>30</v>
      </c>
      <c r="D16" s="29">
        <v>4</v>
      </c>
      <c r="E16" s="23">
        <f>IF($A16="","",SUMIFS(Receiving!$D$5:$D$1004,Receiving!$B$5:$B$1004,$A16))</f>
        <v>0</v>
      </c>
      <c r="F16" s="23">
        <f t="shared" si="0"/>
        <v>0</v>
      </c>
      <c r="G16" s="23">
        <f t="shared" si="1"/>
        <v>4</v>
      </c>
      <c r="H16" s="18">
        <f t="shared" si="2"/>
        <v>120</v>
      </c>
      <c r="I16" s="23">
        <f t="shared" si="3"/>
        <v>4</v>
      </c>
      <c r="J16" s="30" t="str">
        <f>IF(OR($A16="",TotalShipped=0),"",(ShipDateUnits-(MIN(D16,TotalShipped)*StartDate+SUMIFS(Receiving!$N$5:$N$1004,Receiving!$B$5:$B$1004,$A16)))/TotalShipped)</f>
        <v/>
      </c>
      <c r="K16" s="31">
        <f ca="1">IF(OR($A16="",G16&lt;=0),"",TODAY()-IF(I16&gt;0,StartDate,_xlfn.MINIFS(Receiving!$A$5:$A$1004,Receiving!$B$5:$B$1004,$A16,Receiving!$I$5:$I$1004,"&gt;0")))</f>
        <v>1</v>
      </c>
      <c r="L16" s="25" t="str">
        <f ca="1">IF($A16="","",IF(G16&lt;0,"CHECK COUNT",IF(G16=0,"Empty",IF(K16&lt;=AGE30,"Fresh",IF(K16&lt;=AGE60,"Watch",IF(K16&lt;=AGE90,"Aging","Old"))))))</f>
        <v>Old</v>
      </c>
    </row>
    <row r="17" spans="1:12" x14ac:dyDescent="0.2">
      <c r="A17" s="27" t="s">
        <v>134</v>
      </c>
      <c r="B17" s="27" t="s">
        <v>147</v>
      </c>
      <c r="C17" s="28">
        <v>20</v>
      </c>
      <c r="D17" s="29">
        <v>50</v>
      </c>
      <c r="E17" s="23">
        <f>IF($A17="","",SUMIFS(Receiving!$D$5:$D$1004,Receiving!$B$5:$B$1004,$A17))</f>
        <v>0</v>
      </c>
      <c r="F17" s="23">
        <f t="shared" si="0"/>
        <v>0</v>
      </c>
      <c r="G17" s="23">
        <f t="shared" si="1"/>
        <v>50</v>
      </c>
      <c r="H17" s="18">
        <f t="shared" si="2"/>
        <v>1000</v>
      </c>
      <c r="I17" s="23">
        <f t="shared" si="3"/>
        <v>50</v>
      </c>
      <c r="J17" s="30" t="str">
        <f>IF(OR($A17="",TotalShipped=0),"",(ShipDateUnits-(MIN(D17,TotalShipped)*StartDate+SUMIFS(Receiving!$N$5:$N$1004,Receiving!$B$5:$B$1004,$A17)))/TotalShipped)</f>
        <v/>
      </c>
      <c r="K17" s="31">
        <f ca="1">IF(OR($A17="",G17&lt;=0),"",TODAY()-IF(I17&gt;0,StartDate,_xlfn.MINIFS(Receiving!$A$5:$A$1004,Receiving!$B$5:$B$1004,$A17,Receiving!$I$5:$I$1004,"&gt;0")))</f>
        <v>1</v>
      </c>
      <c r="L17" s="25" t="str">
        <f ca="1">IF($A17="","",IF(G17&lt;0,"CHECK COUNT",IF(G17=0,"Empty",IF(K17&lt;=AGE30,"Fresh",IF(K17&lt;=AGE60,"Watch",IF(K17&lt;=AGE90,"Aging","Old"))))))</f>
        <v>Old</v>
      </c>
    </row>
    <row r="18" spans="1:12" x14ac:dyDescent="0.2">
      <c r="A18" s="27"/>
      <c r="B18" s="27"/>
      <c r="C18" s="28"/>
      <c r="D18" s="29"/>
      <c r="E18" s="23" t="str">
        <f>IF($A18="","",SUMIFS(Receiving!$D$5:$D$1004,Receiving!$B$5:$B$1004,$A18))</f>
        <v/>
      </c>
      <c r="F18" s="23" t="str">
        <f t="shared" si="0"/>
        <v/>
      </c>
      <c r="G18" s="23" t="str">
        <f t="shared" si="1"/>
        <v/>
      </c>
      <c r="H18" s="18" t="str">
        <f t="shared" si="2"/>
        <v/>
      </c>
      <c r="I18" s="23" t="str">
        <f t="shared" si="3"/>
        <v/>
      </c>
      <c r="J18" s="30" t="str">
        <f>IF(OR($A18="",TotalShipped=0),"",(ShipDateUnits-(MIN(D18,TotalShipped)*StartDate+SUMIFS(Receiving!$N$5:$N$1004,Receiving!$B$5:$B$1004,$A18)))/TotalShipped)</f>
        <v/>
      </c>
      <c r="K18" s="31" t="str">
        <f ca="1">IF(OR($A18="",G18&lt;=0),"",TODAY()-IF(I18&gt;0,StartDate,_xlfn.MINIFS(Receiving!$A$5:$A$1004,Receiving!$B$5:$B$1004,$A18,Receiving!$I$5:$I$1004,"&gt;0")))</f>
        <v/>
      </c>
      <c r="L18" s="25" t="str">
        <f>IF($A18="","",IF(G18&lt;0,"CHECK COUNT",IF(G18=0,"Empty",IF(K18&lt;=AGE30,"Fresh",IF(K18&lt;=AGE60,"Watch",IF(K18&lt;=AGE90,"Aging","Old"))))))</f>
        <v/>
      </c>
    </row>
    <row r="19" spans="1:12" x14ac:dyDescent="0.2">
      <c r="A19" s="27"/>
      <c r="B19" s="27"/>
      <c r="C19" s="28"/>
      <c r="D19" s="29"/>
      <c r="E19" s="23" t="str">
        <f>IF($A19="","",SUMIFS(Receiving!$D$5:$D$1004,Receiving!$B$5:$B$1004,$A19))</f>
        <v/>
      </c>
      <c r="F19" s="23" t="str">
        <f t="shared" si="0"/>
        <v/>
      </c>
      <c r="G19" s="23" t="str">
        <f t="shared" si="1"/>
        <v/>
      </c>
      <c r="H19" s="18" t="str">
        <f t="shared" si="2"/>
        <v/>
      </c>
      <c r="I19" s="23" t="str">
        <f t="shared" si="3"/>
        <v/>
      </c>
      <c r="J19" s="30" t="str">
        <f>IF(OR($A19="",TotalShipped=0),"",(ShipDateUnits-(MIN(D19,TotalShipped)*StartDate+SUMIFS(Receiving!$N$5:$N$1004,Receiving!$B$5:$B$1004,$A19)))/TotalShipped)</f>
        <v/>
      </c>
      <c r="K19" s="31" t="str">
        <f ca="1">IF(OR($A19="",G19&lt;=0),"",TODAY()-IF(I19&gt;0,StartDate,_xlfn.MINIFS(Receiving!$A$5:$A$1004,Receiving!$B$5:$B$1004,$A19,Receiving!$I$5:$I$1004,"&gt;0")))</f>
        <v/>
      </c>
      <c r="L19" s="25" t="str">
        <f>IF($A19="","",IF(G19&lt;0,"CHECK COUNT",IF(G19=0,"Empty",IF(K19&lt;=AGE30,"Fresh",IF(K19&lt;=AGE60,"Watch",IF(K19&lt;=AGE90,"Aging","Old"))))))</f>
        <v/>
      </c>
    </row>
    <row r="20" spans="1:12" x14ac:dyDescent="0.2">
      <c r="A20" s="20" t="s">
        <v>83</v>
      </c>
      <c r="B20" s="20"/>
      <c r="C20" s="20"/>
      <c r="D20" s="20"/>
      <c r="E20" s="20"/>
      <c r="F20" s="20"/>
      <c r="G20" s="20"/>
      <c r="H20" s="21">
        <f>SUM(H5:H19)</f>
        <v>142542</v>
      </c>
      <c r="I20" s="20"/>
      <c r="J20" s="20"/>
      <c r="K20" s="20"/>
      <c r="L20" s="20"/>
    </row>
    <row r="22" spans="1:12" ht="15" customHeight="1" x14ac:dyDescent="0.2">
      <c r="A22" s="43" t="s">
        <v>84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</row>
    <row r="23" spans="1:12" x14ac:dyDescent="0.2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</sheetData>
  <sheetProtection formatColumns="0" formatRows="0" sort="0" autoFilter="0"/>
  <mergeCells count="3">
    <mergeCell ref="A1:L1"/>
    <mergeCell ref="A2:L2"/>
    <mergeCell ref="A22:L23"/>
  </mergeCells>
  <conditionalFormatting sqref="L5:L19">
    <cfRule type="expression" dxfId="13" priority="2">
      <formula>$L5="Fresh"</formula>
    </cfRule>
    <cfRule type="expression" dxfId="12" priority="3">
      <formula>$L5="Watch"</formula>
    </cfRule>
    <cfRule type="expression" dxfId="11" priority="4">
      <formula>$L5="Aging"</formula>
    </cfRule>
    <cfRule type="expression" dxfId="10" priority="5">
      <formula>$L5="Old"</formula>
    </cfRule>
    <cfRule type="expression" dxfId="9" priority="6">
      <formula>$L5="CHECK COUNT"</formula>
    </cfRule>
    <cfRule type="expression" dxfId="8" priority="7">
      <formula>$L5="Empty"</formula>
    </cfRule>
    <cfRule type="expression" dxfId="7" priority="8">
      <formula>$L5="Shipped"</formula>
    </cfRule>
  </conditionalFormatting>
  <dataValidations count="2">
    <dataValidation type="decimal" operator="greaterThanOrEqual" allowBlank="1" errorTitle="Invalid entry" error="Enter a number of 0 or more." sqref="C5:D19" xr:uid="{00000000-0002-0000-0200-000000000000}">
      <formula1>0</formula1>
      <formula2>0</formula2>
    </dataValidation>
    <dataValidation type="custom" allowBlank="1" errorTitle="Duplicate code" error="Each Item Code must be unique." sqref="A5:A19" xr:uid="{00000000-0002-0000-0200-000001000000}">
      <formula1>COUNTIF($A$5:$A$19,A5)=1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4"/>
  <sheetViews>
    <sheetView showGridLines="0" topLeftCell="B1" zoomScaleNormal="100" workbookViewId="0">
      <pane ySplit="4" topLeftCell="A5" activePane="bottomLeft" state="frozen"/>
      <selection pane="bottomLeft" activeCell="F14" sqref="F14"/>
    </sheetView>
  </sheetViews>
  <sheetFormatPr baseColWidth="10" defaultColWidth="8.6640625" defaultRowHeight="15" x14ac:dyDescent="0.2"/>
  <cols>
    <col min="1" max="1" width="14" customWidth="1"/>
    <col min="2" max="2" width="16" customWidth="1"/>
    <col min="3" max="3" width="46" customWidth="1"/>
    <col min="4" max="5" width="13" customWidth="1"/>
    <col min="6" max="6" width="14" customWidth="1"/>
    <col min="7" max="7" width="20" customWidth="1"/>
    <col min="8" max="8" width="16" customWidth="1"/>
    <col min="9" max="9" width="13" customWidth="1"/>
    <col min="10" max="10" width="14" customWidth="1"/>
    <col min="11" max="11" width="16" customWidth="1"/>
    <col min="12" max="12" width="17" customWidth="1"/>
    <col min="13" max="13" width="13" customWidth="1"/>
    <col min="14" max="14" width="20" customWidth="1"/>
  </cols>
  <sheetData>
    <row r="1" spans="1:14" ht="33.75" customHeight="1" x14ac:dyDescent="0.2">
      <c r="A1" s="39" t="s">
        <v>85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30" customHeight="1" x14ac:dyDescent="0.2">
      <c r="A2" s="40" t="s">
        <v>86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4" spans="1:14" ht="42" customHeight="1" x14ac:dyDescent="0.2">
      <c r="A4" s="14" t="s">
        <v>87</v>
      </c>
      <c r="B4" s="14" t="s">
        <v>88</v>
      </c>
      <c r="C4" s="26" t="s">
        <v>76</v>
      </c>
      <c r="D4" s="14" t="s">
        <v>89</v>
      </c>
      <c r="E4" s="26" t="s">
        <v>69</v>
      </c>
      <c r="F4" s="26" t="s">
        <v>90</v>
      </c>
      <c r="G4" s="14" t="s">
        <v>91</v>
      </c>
      <c r="H4" s="26" t="s">
        <v>92</v>
      </c>
      <c r="I4" s="26" t="s">
        <v>93</v>
      </c>
      <c r="J4" s="26" t="s">
        <v>94</v>
      </c>
      <c r="K4" s="26" t="s">
        <v>95</v>
      </c>
      <c r="L4" s="26" t="s">
        <v>96</v>
      </c>
      <c r="M4" s="26" t="s">
        <v>97</v>
      </c>
      <c r="N4" s="26" t="s">
        <v>98</v>
      </c>
    </row>
    <row r="5" spans="1:14" x14ac:dyDescent="0.2">
      <c r="A5" s="32">
        <v>46296</v>
      </c>
      <c r="B5" s="27" t="s">
        <v>82</v>
      </c>
      <c r="C5" s="15" t="str">
        <f>IF(B5="","",IFERROR(INDEX(Items!$B$5:$B$19,MATCH(B5,Items!$A$5:$A$19,0)),"Unknown code"))</f>
        <v>Unknown code</v>
      </c>
      <c r="D5" s="29">
        <v>5</v>
      </c>
      <c r="E5" s="18" t="str">
        <f>IF(B5="","",IFERROR(INDEX(Items!$C$5:$C$19,MATCH(B5,Items!$A$5:$A$19,0)),""))</f>
        <v/>
      </c>
      <c r="F5" s="18" t="str">
        <f t="shared" ref="F5:F68" si="0">IF(OR(D5="",E5=""),"",D5*E5)</f>
        <v/>
      </c>
      <c r="G5" s="27"/>
      <c r="H5" s="23" t="str">
        <f>IF(OR(A5="",B5="",D5=""),"",IFERROR(INDEX(Items!$D$5:$D$19,MATCH(B5,Items!$A$5:$A$19,0))+SUMIFS(D$4:D4,B$4:B4,B5),""))</f>
        <v/>
      </c>
      <c r="I5" s="23" t="str">
        <f t="shared" ref="I5:I68" si="1">IF(H5="","",MAX(0,MIN(D5,H5+D5-TotalShipped)))</f>
        <v/>
      </c>
      <c r="J5" s="23" t="str">
        <f t="shared" ref="J5:J68" si="2">IF(H5="","",D5-I5)</f>
        <v/>
      </c>
      <c r="K5" s="18" t="str">
        <f t="shared" ref="K5:K68" si="3">IF(OR(H5="",E5=""),"",I5*E5)</f>
        <v/>
      </c>
      <c r="L5" s="16" t="str">
        <f t="shared" ref="L5:L68" ca="1" si="4">IF(H5="","",IF(I5&gt;0,TODAY()-A5,""))</f>
        <v/>
      </c>
      <c r="M5" s="25" t="str">
        <f>IF(H5="","",IF(I5&lt;=0,"Shipped",IF(L5&lt;=AGE30,"Fresh",IF(L5&lt;=AGE60,"Watch",IF(L5&lt;=AGE90,"Aging","Old")))))</f>
        <v/>
      </c>
      <c r="N5" s="16" t="str">
        <f t="shared" ref="N5:N68" si="5">IF(H5="","",J5*A5)</f>
        <v/>
      </c>
    </row>
    <row r="6" spans="1:14" x14ac:dyDescent="0.2">
      <c r="A6" s="32"/>
      <c r="B6" s="27"/>
      <c r="C6" s="15" t="str">
        <f>IF(B6="","",IFERROR(INDEX(Items!$B$5:$B$19,MATCH(B6,Items!$A$5:$A$19,0)),"Unknown code"))</f>
        <v/>
      </c>
      <c r="D6" s="29"/>
      <c r="E6" s="18" t="str">
        <f>IF(B6="","",IFERROR(INDEX(Items!$C$5:$C$19,MATCH(B6,Items!$A$5:$A$19,0)),""))</f>
        <v/>
      </c>
      <c r="F6" s="18" t="str">
        <f t="shared" si="0"/>
        <v/>
      </c>
      <c r="G6" s="27"/>
      <c r="H6" s="23" t="str">
        <f>IF(OR(A6="",B6="",D6=""),"",IFERROR(INDEX(Items!$D$5:$D$19,MATCH(B6,Items!$A$5:$A$19,0))+SUMIFS(D$4:D5,B$4:B5,B6),""))</f>
        <v/>
      </c>
      <c r="I6" s="23" t="str">
        <f t="shared" si="1"/>
        <v/>
      </c>
      <c r="J6" s="23" t="str">
        <f t="shared" si="2"/>
        <v/>
      </c>
      <c r="K6" s="18" t="str">
        <f t="shared" si="3"/>
        <v/>
      </c>
      <c r="L6" s="16" t="str">
        <f t="shared" ca="1" si="4"/>
        <v/>
      </c>
      <c r="M6" s="25" t="str">
        <f>IF(H6="","",IF(I6&lt;=0,"Shipped",IF(L6&lt;=AGE30,"Fresh",IF(L6&lt;=AGE60,"Watch",IF(L6&lt;=AGE90,"Aging","Old")))))</f>
        <v/>
      </c>
      <c r="N6" s="16" t="str">
        <f t="shared" si="5"/>
        <v/>
      </c>
    </row>
    <row r="7" spans="1:14" x14ac:dyDescent="0.2">
      <c r="A7" s="32"/>
      <c r="B7" s="27"/>
      <c r="C7" s="15" t="str">
        <f>IF(B7="","",IFERROR(INDEX(Items!$B$5:$B$19,MATCH(B7,Items!$A$5:$A$19,0)),"Unknown code"))</f>
        <v/>
      </c>
      <c r="D7" s="29"/>
      <c r="E7" s="18" t="str">
        <f>IF(B7="","",IFERROR(INDEX(Items!$C$5:$C$19,MATCH(B7,Items!$A$5:$A$19,0)),""))</f>
        <v/>
      </c>
      <c r="F7" s="18" t="str">
        <f t="shared" si="0"/>
        <v/>
      </c>
      <c r="G7" s="27"/>
      <c r="H7" s="23" t="str">
        <f>IF(OR(A7="",B7="",D7=""),"",IFERROR(INDEX(Items!$D$5:$D$19,MATCH(B7,Items!$A$5:$A$19,0))+SUMIFS(D$4:D6,B$4:B6,B7),""))</f>
        <v/>
      </c>
      <c r="I7" s="23" t="str">
        <f t="shared" si="1"/>
        <v/>
      </c>
      <c r="J7" s="23" t="str">
        <f t="shared" si="2"/>
        <v/>
      </c>
      <c r="K7" s="18" t="str">
        <f t="shared" si="3"/>
        <v/>
      </c>
      <c r="L7" s="16" t="str">
        <f t="shared" ca="1" si="4"/>
        <v/>
      </c>
      <c r="M7" s="25" t="str">
        <f>IF(H7="","",IF(I7&lt;=0,"Shipped",IF(L7&lt;=AGE30,"Fresh",IF(L7&lt;=AGE60,"Watch",IF(L7&lt;=AGE90,"Aging","Old")))))</f>
        <v/>
      </c>
      <c r="N7" s="16" t="str">
        <f t="shared" si="5"/>
        <v/>
      </c>
    </row>
    <row r="8" spans="1:14" x14ac:dyDescent="0.2">
      <c r="A8" s="32"/>
      <c r="B8" s="27"/>
      <c r="C8" s="15" t="str">
        <f>IF(B8="","",IFERROR(INDEX(Items!$B$5:$B$19,MATCH(B8,Items!$A$5:$A$19,0)),"Unknown code"))</f>
        <v/>
      </c>
      <c r="D8" s="29"/>
      <c r="E8" s="18" t="str">
        <f>IF(B8="","",IFERROR(INDEX(Items!$C$5:$C$19,MATCH(B8,Items!$A$5:$A$19,0)),""))</f>
        <v/>
      </c>
      <c r="F8" s="18" t="str">
        <f t="shared" si="0"/>
        <v/>
      </c>
      <c r="G8" s="27"/>
      <c r="H8" s="23" t="str">
        <f>IF(OR(A8="",B8="",D8=""),"",IFERROR(INDEX(Items!$D$5:$D$19,MATCH(B8,Items!$A$5:$A$19,0))+SUMIFS(D$4:D7,B$4:B7,B8),""))</f>
        <v/>
      </c>
      <c r="I8" s="23" t="str">
        <f t="shared" si="1"/>
        <v/>
      </c>
      <c r="J8" s="23" t="str">
        <f t="shared" si="2"/>
        <v/>
      </c>
      <c r="K8" s="18" t="str">
        <f t="shared" si="3"/>
        <v/>
      </c>
      <c r="L8" s="16" t="str">
        <f t="shared" ca="1" si="4"/>
        <v/>
      </c>
      <c r="M8" s="25" t="str">
        <f>IF(H8="","",IF(I8&lt;=0,"Shipped",IF(L8&lt;=AGE30,"Fresh",IF(L8&lt;=AGE60,"Watch",IF(L8&lt;=AGE90,"Aging","Old")))))</f>
        <v/>
      </c>
      <c r="N8" s="16" t="str">
        <f t="shared" si="5"/>
        <v/>
      </c>
    </row>
    <row r="9" spans="1:14" x14ac:dyDescent="0.2">
      <c r="A9" s="32"/>
      <c r="B9" s="27"/>
      <c r="C9" s="15" t="str">
        <f>IF(B9="","",IFERROR(INDEX(Items!$B$5:$B$19,MATCH(B9,Items!$A$5:$A$19,0)),"Unknown code"))</f>
        <v/>
      </c>
      <c r="D9" s="29"/>
      <c r="E9" s="18" t="str">
        <f>IF(B9="","",IFERROR(INDEX(Items!$C$5:$C$19,MATCH(B9,Items!$A$5:$A$19,0)),""))</f>
        <v/>
      </c>
      <c r="F9" s="18" t="str">
        <f t="shared" si="0"/>
        <v/>
      </c>
      <c r="G9" s="27"/>
      <c r="H9" s="23" t="str">
        <f>IF(OR(A9="",B9="",D9=""),"",IFERROR(INDEX(Items!$D$5:$D$19,MATCH(B9,Items!$A$5:$A$19,0))+SUMIFS(D$4:D8,B$4:B8,B9),""))</f>
        <v/>
      </c>
      <c r="I9" s="23" t="str">
        <f t="shared" si="1"/>
        <v/>
      </c>
      <c r="J9" s="23" t="str">
        <f t="shared" si="2"/>
        <v/>
      </c>
      <c r="K9" s="18" t="str">
        <f t="shared" si="3"/>
        <v/>
      </c>
      <c r="L9" s="16" t="str">
        <f t="shared" ca="1" si="4"/>
        <v/>
      </c>
      <c r="M9" s="25" t="str">
        <f>IF(H9="","",IF(I9&lt;=0,"Shipped",IF(L9&lt;=AGE30,"Fresh",IF(L9&lt;=AGE60,"Watch",IF(L9&lt;=AGE90,"Aging","Old")))))</f>
        <v/>
      </c>
      <c r="N9" s="16" t="str">
        <f t="shared" si="5"/>
        <v/>
      </c>
    </row>
    <row r="10" spans="1:14" x14ac:dyDescent="0.2">
      <c r="A10" s="32"/>
      <c r="B10" s="27"/>
      <c r="C10" s="15" t="str">
        <f>IF(B10="","",IFERROR(INDEX(Items!$B$5:$B$19,MATCH(B10,Items!$A$5:$A$19,0)),"Unknown code"))</f>
        <v/>
      </c>
      <c r="D10" s="29"/>
      <c r="E10" s="18" t="str">
        <f>IF(B10="","",IFERROR(INDEX(Items!$C$5:$C$19,MATCH(B10,Items!$A$5:$A$19,0)),""))</f>
        <v/>
      </c>
      <c r="F10" s="18" t="str">
        <f t="shared" si="0"/>
        <v/>
      </c>
      <c r="G10" s="27"/>
      <c r="H10" s="23" t="str">
        <f>IF(OR(A10="",B10="",D10=""),"",IFERROR(INDEX(Items!$D$5:$D$19,MATCH(B10,Items!$A$5:$A$19,0))+SUMIFS(D$4:D9,B$4:B9,B10),""))</f>
        <v/>
      </c>
      <c r="I10" s="23" t="str">
        <f t="shared" si="1"/>
        <v/>
      </c>
      <c r="J10" s="23" t="str">
        <f t="shared" si="2"/>
        <v/>
      </c>
      <c r="K10" s="18" t="str">
        <f t="shared" si="3"/>
        <v/>
      </c>
      <c r="L10" s="16" t="str">
        <f t="shared" ca="1" si="4"/>
        <v/>
      </c>
      <c r="M10" s="25" t="str">
        <f>IF(H10="","",IF(I10&lt;=0,"Shipped",IF(L10&lt;=AGE30,"Fresh",IF(L10&lt;=AGE60,"Watch",IF(L10&lt;=AGE90,"Aging","Old")))))</f>
        <v/>
      </c>
      <c r="N10" s="16" t="str">
        <f t="shared" si="5"/>
        <v/>
      </c>
    </row>
    <row r="11" spans="1:14" x14ac:dyDescent="0.2">
      <c r="A11" s="32"/>
      <c r="B11" s="27"/>
      <c r="C11" s="15" t="str">
        <f>IF(B11="","",IFERROR(INDEX(Items!$B$5:$B$19,MATCH(B11,Items!$A$5:$A$19,0)),"Unknown code"))</f>
        <v/>
      </c>
      <c r="D11" s="29"/>
      <c r="E11" s="18" t="str">
        <f>IF(B11="","",IFERROR(INDEX(Items!$C$5:$C$19,MATCH(B11,Items!$A$5:$A$19,0)),""))</f>
        <v/>
      </c>
      <c r="F11" s="18" t="str">
        <f t="shared" si="0"/>
        <v/>
      </c>
      <c r="G11" s="27"/>
      <c r="H11" s="23" t="str">
        <f>IF(OR(A11="",B11="",D11=""),"",IFERROR(INDEX(Items!$D$5:$D$19,MATCH(B11,Items!$A$5:$A$19,0))+SUMIFS(D$4:D10,B$4:B10,B11),""))</f>
        <v/>
      </c>
      <c r="I11" s="23" t="str">
        <f t="shared" si="1"/>
        <v/>
      </c>
      <c r="J11" s="23" t="str">
        <f t="shared" si="2"/>
        <v/>
      </c>
      <c r="K11" s="18" t="str">
        <f t="shared" si="3"/>
        <v/>
      </c>
      <c r="L11" s="16" t="str">
        <f t="shared" ca="1" si="4"/>
        <v/>
      </c>
      <c r="M11" s="25" t="str">
        <f>IF(H11="","",IF(I11&lt;=0,"Shipped",IF(L11&lt;=AGE30,"Fresh",IF(L11&lt;=AGE60,"Watch",IF(L11&lt;=AGE90,"Aging","Old")))))</f>
        <v/>
      </c>
      <c r="N11" s="16" t="str">
        <f t="shared" si="5"/>
        <v/>
      </c>
    </row>
    <row r="12" spans="1:14" x14ac:dyDescent="0.2">
      <c r="A12" s="32"/>
      <c r="B12" s="27"/>
      <c r="C12" s="15" t="str">
        <f>IF(B12="","",IFERROR(INDEX(Items!$B$5:$B$19,MATCH(B12,Items!$A$5:$A$19,0)),"Unknown code"))</f>
        <v/>
      </c>
      <c r="D12" s="29"/>
      <c r="E12" s="18" t="str">
        <f>IF(B12="","",IFERROR(INDEX(Items!$C$5:$C$19,MATCH(B12,Items!$A$5:$A$19,0)),""))</f>
        <v/>
      </c>
      <c r="F12" s="18" t="str">
        <f t="shared" si="0"/>
        <v/>
      </c>
      <c r="G12" s="27"/>
      <c r="H12" s="23" t="str">
        <f>IF(OR(A12="",B12="",D12=""),"",IFERROR(INDEX(Items!$D$5:$D$19,MATCH(B12,Items!$A$5:$A$19,0))+SUMIFS(D$4:D11,B$4:B11,B12),""))</f>
        <v/>
      </c>
      <c r="I12" s="23" t="str">
        <f t="shared" si="1"/>
        <v/>
      </c>
      <c r="J12" s="23" t="str">
        <f t="shared" si="2"/>
        <v/>
      </c>
      <c r="K12" s="18" t="str">
        <f t="shared" si="3"/>
        <v/>
      </c>
      <c r="L12" s="16" t="str">
        <f t="shared" ca="1" si="4"/>
        <v/>
      </c>
      <c r="M12" s="25" t="str">
        <f>IF(H12="","",IF(I12&lt;=0,"Shipped",IF(L12&lt;=AGE30,"Fresh",IF(L12&lt;=AGE60,"Watch",IF(L12&lt;=AGE90,"Aging","Old")))))</f>
        <v/>
      </c>
      <c r="N12" s="16" t="str">
        <f t="shared" si="5"/>
        <v/>
      </c>
    </row>
    <row r="13" spans="1:14" x14ac:dyDescent="0.2">
      <c r="A13" s="32"/>
      <c r="B13" s="27"/>
      <c r="C13" s="15" t="str">
        <f>IF(B13="","",IFERROR(INDEX(Items!$B$5:$B$19,MATCH(B13,Items!$A$5:$A$19,0)),"Unknown code"))</f>
        <v/>
      </c>
      <c r="D13" s="29"/>
      <c r="E13" s="18" t="str">
        <f>IF(B13="","",IFERROR(INDEX(Items!$C$5:$C$19,MATCH(B13,Items!$A$5:$A$19,0)),""))</f>
        <v/>
      </c>
      <c r="F13" s="18" t="str">
        <f t="shared" si="0"/>
        <v/>
      </c>
      <c r="G13" s="27"/>
      <c r="H13" s="23" t="str">
        <f>IF(OR(A13="",B13="",D13=""),"",IFERROR(INDEX(Items!$D$5:$D$19,MATCH(B13,Items!$A$5:$A$19,0))+SUMIFS(D$4:D12,B$4:B12,B13),""))</f>
        <v/>
      </c>
      <c r="I13" s="23" t="str">
        <f t="shared" si="1"/>
        <v/>
      </c>
      <c r="J13" s="23" t="str">
        <f t="shared" si="2"/>
        <v/>
      </c>
      <c r="K13" s="18" t="str">
        <f t="shared" si="3"/>
        <v/>
      </c>
      <c r="L13" s="16" t="str">
        <f t="shared" ca="1" si="4"/>
        <v/>
      </c>
      <c r="M13" s="25" t="str">
        <f>IF(H13="","",IF(I13&lt;=0,"Shipped",IF(L13&lt;=AGE30,"Fresh",IF(L13&lt;=AGE60,"Watch",IF(L13&lt;=AGE90,"Aging","Old")))))</f>
        <v/>
      </c>
      <c r="N13" s="16" t="str">
        <f t="shared" si="5"/>
        <v/>
      </c>
    </row>
    <row r="14" spans="1:14" x14ac:dyDescent="0.2">
      <c r="A14" s="32"/>
      <c r="B14" s="27"/>
      <c r="C14" s="15" t="str">
        <f>IF(B14="","",IFERROR(INDEX(Items!$B$5:$B$19,MATCH(B14,Items!$A$5:$A$19,0)),"Unknown code"))</f>
        <v/>
      </c>
      <c r="D14" s="29"/>
      <c r="E14" s="18" t="str">
        <f>IF(B14="","",IFERROR(INDEX(Items!$C$5:$C$19,MATCH(B14,Items!$A$5:$A$19,0)),""))</f>
        <v/>
      </c>
      <c r="F14" s="18" t="str">
        <f t="shared" si="0"/>
        <v/>
      </c>
      <c r="G14" s="27"/>
      <c r="H14" s="23" t="str">
        <f>IF(OR(A14="",B14="",D14=""),"",IFERROR(INDEX(Items!$D$5:$D$19,MATCH(B14,Items!$A$5:$A$19,0))+SUMIFS(D$4:D13,B$4:B13,B14),""))</f>
        <v/>
      </c>
      <c r="I14" s="23" t="str">
        <f t="shared" si="1"/>
        <v/>
      </c>
      <c r="J14" s="23" t="str">
        <f t="shared" si="2"/>
        <v/>
      </c>
      <c r="K14" s="18" t="str">
        <f t="shared" si="3"/>
        <v/>
      </c>
      <c r="L14" s="16" t="str">
        <f t="shared" ca="1" si="4"/>
        <v/>
      </c>
      <c r="M14" s="25" t="str">
        <f>IF(H14="","",IF(I14&lt;=0,"Shipped",IF(L14&lt;=AGE30,"Fresh",IF(L14&lt;=AGE60,"Watch",IF(L14&lt;=AGE90,"Aging","Old")))))</f>
        <v/>
      </c>
      <c r="N14" s="16" t="str">
        <f t="shared" si="5"/>
        <v/>
      </c>
    </row>
    <row r="15" spans="1:14" x14ac:dyDescent="0.2">
      <c r="A15" s="32"/>
      <c r="B15" s="27"/>
      <c r="C15" s="15" t="str">
        <f>IF(B15="","",IFERROR(INDEX(Items!$B$5:$B$19,MATCH(B15,Items!$A$5:$A$19,0)),"Unknown code"))</f>
        <v/>
      </c>
      <c r="D15" s="29"/>
      <c r="E15" s="18" t="str">
        <f>IF(B15="","",IFERROR(INDEX(Items!$C$5:$C$19,MATCH(B15,Items!$A$5:$A$19,0)),""))</f>
        <v/>
      </c>
      <c r="F15" s="18" t="str">
        <f t="shared" si="0"/>
        <v/>
      </c>
      <c r="G15" s="27"/>
      <c r="H15" s="23" t="str">
        <f>IF(OR(A15="",B15="",D15=""),"",IFERROR(INDEX(Items!$D$5:$D$19,MATCH(B15,Items!$A$5:$A$19,0))+SUMIFS(D$4:D14,B$4:B14,B15),""))</f>
        <v/>
      </c>
      <c r="I15" s="23" t="str">
        <f t="shared" si="1"/>
        <v/>
      </c>
      <c r="J15" s="23" t="str">
        <f t="shared" si="2"/>
        <v/>
      </c>
      <c r="K15" s="18" t="str">
        <f t="shared" si="3"/>
        <v/>
      </c>
      <c r="L15" s="16" t="str">
        <f t="shared" ca="1" si="4"/>
        <v/>
      </c>
      <c r="M15" s="25" t="str">
        <f>IF(H15="","",IF(I15&lt;=0,"Shipped",IF(L15&lt;=AGE30,"Fresh",IF(L15&lt;=AGE60,"Watch",IF(L15&lt;=AGE90,"Aging","Old")))))</f>
        <v/>
      </c>
      <c r="N15" s="16" t="str">
        <f t="shared" si="5"/>
        <v/>
      </c>
    </row>
    <row r="16" spans="1:14" x14ac:dyDescent="0.2">
      <c r="A16" s="32"/>
      <c r="B16" s="27"/>
      <c r="C16" s="15" t="str">
        <f>IF(B16="","",IFERROR(INDEX(Items!$B$5:$B$19,MATCH(B16,Items!$A$5:$A$19,0)),"Unknown code"))</f>
        <v/>
      </c>
      <c r="D16" s="29"/>
      <c r="E16" s="18" t="str">
        <f>IF(B16="","",IFERROR(INDEX(Items!$C$5:$C$19,MATCH(B16,Items!$A$5:$A$19,0)),""))</f>
        <v/>
      </c>
      <c r="F16" s="18" t="str">
        <f t="shared" si="0"/>
        <v/>
      </c>
      <c r="G16" s="27"/>
      <c r="H16" s="23" t="str">
        <f>IF(OR(A16="",B16="",D16=""),"",IFERROR(INDEX(Items!$D$5:$D$19,MATCH(B16,Items!$A$5:$A$19,0))+SUMIFS(D$4:D15,B$4:B15,B16),""))</f>
        <v/>
      </c>
      <c r="I16" s="23" t="str">
        <f t="shared" si="1"/>
        <v/>
      </c>
      <c r="J16" s="23" t="str">
        <f t="shared" si="2"/>
        <v/>
      </c>
      <c r="K16" s="18" t="str">
        <f t="shared" si="3"/>
        <v/>
      </c>
      <c r="L16" s="16" t="str">
        <f t="shared" ca="1" si="4"/>
        <v/>
      </c>
      <c r="M16" s="25" t="str">
        <f>IF(H16="","",IF(I16&lt;=0,"Shipped",IF(L16&lt;=AGE30,"Fresh",IF(L16&lt;=AGE60,"Watch",IF(L16&lt;=AGE90,"Aging","Old")))))</f>
        <v/>
      </c>
      <c r="N16" s="16" t="str">
        <f t="shared" si="5"/>
        <v/>
      </c>
    </row>
    <row r="17" spans="1:14" x14ac:dyDescent="0.2">
      <c r="A17" s="32"/>
      <c r="B17" s="27"/>
      <c r="C17" s="15" t="str">
        <f>IF(B17="","",IFERROR(INDEX(Items!$B$5:$B$19,MATCH(B17,Items!$A$5:$A$19,0)),"Unknown code"))</f>
        <v/>
      </c>
      <c r="D17" s="29"/>
      <c r="E17" s="18" t="str">
        <f>IF(B17="","",IFERROR(INDEX(Items!$C$5:$C$19,MATCH(B17,Items!$A$5:$A$19,0)),""))</f>
        <v/>
      </c>
      <c r="F17" s="18" t="str">
        <f t="shared" si="0"/>
        <v/>
      </c>
      <c r="G17" s="27"/>
      <c r="H17" s="23" t="str">
        <f>IF(OR(A17="",B17="",D17=""),"",IFERROR(INDEX(Items!$D$5:$D$19,MATCH(B17,Items!$A$5:$A$19,0))+SUMIFS(D$4:D16,B$4:B16,B17),""))</f>
        <v/>
      </c>
      <c r="I17" s="23" t="str">
        <f t="shared" si="1"/>
        <v/>
      </c>
      <c r="J17" s="23" t="str">
        <f t="shared" si="2"/>
        <v/>
      </c>
      <c r="K17" s="18" t="str">
        <f t="shared" si="3"/>
        <v/>
      </c>
      <c r="L17" s="16" t="str">
        <f t="shared" ca="1" si="4"/>
        <v/>
      </c>
      <c r="M17" s="25" t="str">
        <f>IF(H17="","",IF(I17&lt;=0,"Shipped",IF(L17&lt;=AGE30,"Fresh",IF(L17&lt;=AGE60,"Watch",IF(L17&lt;=AGE90,"Aging","Old")))))</f>
        <v/>
      </c>
      <c r="N17" s="16" t="str">
        <f t="shared" si="5"/>
        <v/>
      </c>
    </row>
    <row r="18" spans="1:14" x14ac:dyDescent="0.2">
      <c r="A18" s="32"/>
      <c r="B18" s="27"/>
      <c r="C18" s="15" t="str">
        <f>IF(B18="","",IFERROR(INDEX(Items!$B$5:$B$19,MATCH(B18,Items!$A$5:$A$19,0)),"Unknown code"))</f>
        <v/>
      </c>
      <c r="D18" s="29"/>
      <c r="E18" s="18" t="str">
        <f>IF(B18="","",IFERROR(INDEX(Items!$C$5:$C$19,MATCH(B18,Items!$A$5:$A$19,0)),""))</f>
        <v/>
      </c>
      <c r="F18" s="18" t="str">
        <f t="shared" si="0"/>
        <v/>
      </c>
      <c r="G18" s="27"/>
      <c r="H18" s="23" t="str">
        <f>IF(OR(A18="",B18="",D18=""),"",IFERROR(INDEX(Items!$D$5:$D$19,MATCH(B18,Items!$A$5:$A$19,0))+SUMIFS(D$4:D17,B$4:B17,B18),""))</f>
        <v/>
      </c>
      <c r="I18" s="23" t="str">
        <f t="shared" si="1"/>
        <v/>
      </c>
      <c r="J18" s="23" t="str">
        <f t="shared" si="2"/>
        <v/>
      </c>
      <c r="K18" s="18" t="str">
        <f t="shared" si="3"/>
        <v/>
      </c>
      <c r="L18" s="16" t="str">
        <f t="shared" ca="1" si="4"/>
        <v/>
      </c>
      <c r="M18" s="25" t="str">
        <f>IF(H18="","",IF(I18&lt;=0,"Shipped",IF(L18&lt;=AGE30,"Fresh",IF(L18&lt;=AGE60,"Watch",IF(L18&lt;=AGE90,"Aging","Old")))))</f>
        <v/>
      </c>
      <c r="N18" s="16" t="str">
        <f t="shared" si="5"/>
        <v/>
      </c>
    </row>
    <row r="19" spans="1:14" x14ac:dyDescent="0.2">
      <c r="A19" s="32"/>
      <c r="B19" s="27"/>
      <c r="C19" s="15" t="str">
        <f>IF(B19="","",IFERROR(INDEX(Items!$B$5:$B$19,MATCH(B19,Items!$A$5:$A$19,0)),"Unknown code"))</f>
        <v/>
      </c>
      <c r="D19" s="29"/>
      <c r="E19" s="18" t="str">
        <f>IF(B19="","",IFERROR(INDEX(Items!$C$5:$C$19,MATCH(B19,Items!$A$5:$A$19,0)),""))</f>
        <v/>
      </c>
      <c r="F19" s="18" t="str">
        <f t="shared" si="0"/>
        <v/>
      </c>
      <c r="G19" s="27"/>
      <c r="H19" s="23" t="str">
        <f>IF(OR(A19="",B19="",D19=""),"",IFERROR(INDEX(Items!$D$5:$D$19,MATCH(B19,Items!$A$5:$A$19,0))+SUMIFS(D$4:D18,B$4:B18,B19),""))</f>
        <v/>
      </c>
      <c r="I19" s="23" t="str">
        <f t="shared" si="1"/>
        <v/>
      </c>
      <c r="J19" s="23" t="str">
        <f t="shared" si="2"/>
        <v/>
      </c>
      <c r="K19" s="18" t="str">
        <f t="shared" si="3"/>
        <v/>
      </c>
      <c r="L19" s="16" t="str">
        <f t="shared" ca="1" si="4"/>
        <v/>
      </c>
      <c r="M19" s="25" t="str">
        <f>IF(H19="","",IF(I19&lt;=0,"Shipped",IF(L19&lt;=AGE30,"Fresh",IF(L19&lt;=AGE60,"Watch",IF(L19&lt;=AGE90,"Aging","Old")))))</f>
        <v/>
      </c>
      <c r="N19" s="16" t="str">
        <f t="shared" si="5"/>
        <v/>
      </c>
    </row>
    <row r="20" spans="1:14" x14ac:dyDescent="0.2">
      <c r="A20" s="32"/>
      <c r="B20" s="27"/>
      <c r="C20" s="15" t="str">
        <f>IF(B20="","",IFERROR(INDEX(Items!$B$5:$B$19,MATCH(B20,Items!$A$5:$A$19,0)),"Unknown code"))</f>
        <v/>
      </c>
      <c r="D20" s="29"/>
      <c r="E20" s="18" t="str">
        <f>IF(B20="","",IFERROR(INDEX(Items!$C$5:$C$19,MATCH(B20,Items!$A$5:$A$19,0)),""))</f>
        <v/>
      </c>
      <c r="F20" s="18" t="str">
        <f t="shared" si="0"/>
        <v/>
      </c>
      <c r="G20" s="27"/>
      <c r="H20" s="23" t="str">
        <f>IF(OR(A20="",B20="",D20=""),"",IFERROR(INDEX(Items!$D$5:$D$19,MATCH(B20,Items!$A$5:$A$19,0))+SUMIFS(D$4:D19,B$4:B19,B20),""))</f>
        <v/>
      </c>
      <c r="I20" s="23" t="str">
        <f t="shared" si="1"/>
        <v/>
      </c>
      <c r="J20" s="23" t="str">
        <f t="shared" si="2"/>
        <v/>
      </c>
      <c r="K20" s="18" t="str">
        <f t="shared" si="3"/>
        <v/>
      </c>
      <c r="L20" s="16" t="str">
        <f t="shared" ca="1" si="4"/>
        <v/>
      </c>
      <c r="M20" s="25" t="str">
        <f>IF(H20="","",IF(I20&lt;=0,"Shipped",IF(L20&lt;=AGE30,"Fresh",IF(L20&lt;=AGE60,"Watch",IF(L20&lt;=AGE90,"Aging","Old")))))</f>
        <v/>
      </c>
      <c r="N20" s="16" t="str">
        <f t="shared" si="5"/>
        <v/>
      </c>
    </row>
    <row r="21" spans="1:14" x14ac:dyDescent="0.2">
      <c r="A21" s="32"/>
      <c r="B21" s="27"/>
      <c r="C21" s="15" t="str">
        <f>IF(B21="","",IFERROR(INDEX(Items!$B$5:$B$19,MATCH(B21,Items!$A$5:$A$19,0)),"Unknown code"))</f>
        <v/>
      </c>
      <c r="D21" s="29"/>
      <c r="E21" s="18" t="str">
        <f>IF(B21="","",IFERROR(INDEX(Items!$C$5:$C$19,MATCH(B21,Items!$A$5:$A$19,0)),""))</f>
        <v/>
      </c>
      <c r="F21" s="18" t="str">
        <f t="shared" si="0"/>
        <v/>
      </c>
      <c r="G21" s="27"/>
      <c r="H21" s="23" t="str">
        <f>IF(OR(A21="",B21="",D21=""),"",IFERROR(INDEX(Items!$D$5:$D$19,MATCH(B21,Items!$A$5:$A$19,0))+SUMIFS(D$4:D20,B$4:B20,B21),""))</f>
        <v/>
      </c>
      <c r="I21" s="23" t="str">
        <f t="shared" si="1"/>
        <v/>
      </c>
      <c r="J21" s="23" t="str">
        <f t="shared" si="2"/>
        <v/>
      </c>
      <c r="K21" s="18" t="str">
        <f t="shared" si="3"/>
        <v/>
      </c>
      <c r="L21" s="16" t="str">
        <f t="shared" ca="1" si="4"/>
        <v/>
      </c>
      <c r="M21" s="25" t="str">
        <f>IF(H21="","",IF(I21&lt;=0,"Shipped",IF(L21&lt;=AGE30,"Fresh",IF(L21&lt;=AGE60,"Watch",IF(L21&lt;=AGE90,"Aging","Old")))))</f>
        <v/>
      </c>
      <c r="N21" s="16" t="str">
        <f t="shared" si="5"/>
        <v/>
      </c>
    </row>
    <row r="22" spans="1:14" x14ac:dyDescent="0.2">
      <c r="A22" s="32"/>
      <c r="B22" s="27"/>
      <c r="C22" s="15" t="str">
        <f>IF(B22="","",IFERROR(INDEX(Items!$B$5:$B$19,MATCH(B22,Items!$A$5:$A$19,0)),"Unknown code"))</f>
        <v/>
      </c>
      <c r="D22" s="29"/>
      <c r="E22" s="18" t="str">
        <f>IF(B22="","",IFERROR(INDEX(Items!$C$5:$C$19,MATCH(B22,Items!$A$5:$A$19,0)),""))</f>
        <v/>
      </c>
      <c r="F22" s="18" t="str">
        <f t="shared" si="0"/>
        <v/>
      </c>
      <c r="G22" s="27"/>
      <c r="H22" s="23" t="str">
        <f>IF(OR(A22="",B22="",D22=""),"",IFERROR(INDEX(Items!$D$5:$D$19,MATCH(B22,Items!$A$5:$A$19,0))+SUMIFS(D$4:D21,B$4:B21,B22),""))</f>
        <v/>
      </c>
      <c r="I22" s="23" t="str">
        <f t="shared" si="1"/>
        <v/>
      </c>
      <c r="J22" s="23" t="str">
        <f t="shared" si="2"/>
        <v/>
      </c>
      <c r="K22" s="18" t="str">
        <f t="shared" si="3"/>
        <v/>
      </c>
      <c r="L22" s="16" t="str">
        <f t="shared" ca="1" si="4"/>
        <v/>
      </c>
      <c r="M22" s="25" t="str">
        <f>IF(H22="","",IF(I22&lt;=0,"Shipped",IF(L22&lt;=AGE30,"Fresh",IF(L22&lt;=AGE60,"Watch",IF(L22&lt;=AGE90,"Aging","Old")))))</f>
        <v/>
      </c>
      <c r="N22" s="16" t="str">
        <f t="shared" si="5"/>
        <v/>
      </c>
    </row>
    <row r="23" spans="1:14" x14ac:dyDescent="0.2">
      <c r="A23" s="32"/>
      <c r="B23" s="27"/>
      <c r="C23" s="15" t="str">
        <f>IF(B23="","",IFERROR(INDEX(Items!$B$5:$B$19,MATCH(B23,Items!$A$5:$A$19,0)),"Unknown code"))</f>
        <v/>
      </c>
      <c r="D23" s="29"/>
      <c r="E23" s="18" t="str">
        <f>IF(B23="","",IFERROR(INDEX(Items!$C$5:$C$19,MATCH(B23,Items!$A$5:$A$19,0)),""))</f>
        <v/>
      </c>
      <c r="F23" s="18" t="str">
        <f t="shared" si="0"/>
        <v/>
      </c>
      <c r="G23" s="27"/>
      <c r="H23" s="23" t="str">
        <f>IF(OR(A23="",B23="",D23=""),"",IFERROR(INDEX(Items!$D$5:$D$19,MATCH(B23,Items!$A$5:$A$19,0))+SUMIFS(D$4:D22,B$4:B22,B23),""))</f>
        <v/>
      </c>
      <c r="I23" s="23" t="str">
        <f t="shared" si="1"/>
        <v/>
      </c>
      <c r="J23" s="23" t="str">
        <f t="shared" si="2"/>
        <v/>
      </c>
      <c r="K23" s="18" t="str">
        <f t="shared" si="3"/>
        <v/>
      </c>
      <c r="L23" s="16" t="str">
        <f t="shared" ca="1" si="4"/>
        <v/>
      </c>
      <c r="M23" s="25" t="str">
        <f>IF(H23="","",IF(I23&lt;=0,"Shipped",IF(L23&lt;=AGE30,"Fresh",IF(L23&lt;=AGE60,"Watch",IF(L23&lt;=AGE90,"Aging","Old")))))</f>
        <v/>
      </c>
      <c r="N23" s="16" t="str">
        <f t="shared" si="5"/>
        <v/>
      </c>
    </row>
    <row r="24" spans="1:14" x14ac:dyDescent="0.2">
      <c r="A24" s="32"/>
      <c r="B24" s="27"/>
      <c r="C24" s="15" t="str">
        <f>IF(B24="","",IFERROR(INDEX(Items!$B$5:$B$19,MATCH(B24,Items!$A$5:$A$19,0)),"Unknown code"))</f>
        <v/>
      </c>
      <c r="D24" s="29"/>
      <c r="E24" s="18" t="str">
        <f>IF(B24="","",IFERROR(INDEX(Items!$C$5:$C$19,MATCH(B24,Items!$A$5:$A$19,0)),""))</f>
        <v/>
      </c>
      <c r="F24" s="18" t="str">
        <f t="shared" si="0"/>
        <v/>
      </c>
      <c r="G24" s="27"/>
      <c r="H24" s="23" t="str">
        <f>IF(OR(A24="",B24="",D24=""),"",IFERROR(INDEX(Items!$D$5:$D$19,MATCH(B24,Items!$A$5:$A$19,0))+SUMIFS(D$4:D23,B$4:B23,B24),""))</f>
        <v/>
      </c>
      <c r="I24" s="23" t="str">
        <f t="shared" si="1"/>
        <v/>
      </c>
      <c r="J24" s="23" t="str">
        <f t="shared" si="2"/>
        <v/>
      </c>
      <c r="K24" s="18" t="str">
        <f t="shared" si="3"/>
        <v/>
      </c>
      <c r="L24" s="16" t="str">
        <f t="shared" ca="1" si="4"/>
        <v/>
      </c>
      <c r="M24" s="25" t="str">
        <f>IF(H24="","",IF(I24&lt;=0,"Shipped",IF(L24&lt;=AGE30,"Fresh",IF(L24&lt;=AGE60,"Watch",IF(L24&lt;=AGE90,"Aging","Old")))))</f>
        <v/>
      </c>
      <c r="N24" s="16" t="str">
        <f t="shared" si="5"/>
        <v/>
      </c>
    </row>
    <row r="25" spans="1:14" x14ac:dyDescent="0.2">
      <c r="A25" s="32"/>
      <c r="B25" s="27"/>
      <c r="C25" s="15" t="str">
        <f>IF(B25="","",IFERROR(INDEX(Items!$B$5:$B$19,MATCH(B25,Items!$A$5:$A$19,0)),"Unknown code"))</f>
        <v/>
      </c>
      <c r="D25" s="29"/>
      <c r="E25" s="18" t="str">
        <f>IF(B25="","",IFERROR(INDEX(Items!$C$5:$C$19,MATCH(B25,Items!$A$5:$A$19,0)),""))</f>
        <v/>
      </c>
      <c r="F25" s="18" t="str">
        <f t="shared" si="0"/>
        <v/>
      </c>
      <c r="G25" s="27"/>
      <c r="H25" s="23" t="str">
        <f>IF(OR(A25="",B25="",D25=""),"",IFERROR(INDEX(Items!$D$5:$D$19,MATCH(B25,Items!$A$5:$A$19,0))+SUMIFS(D$4:D24,B$4:B24,B25),""))</f>
        <v/>
      </c>
      <c r="I25" s="23" t="str">
        <f t="shared" si="1"/>
        <v/>
      </c>
      <c r="J25" s="23" t="str">
        <f t="shared" si="2"/>
        <v/>
      </c>
      <c r="K25" s="18" t="str">
        <f t="shared" si="3"/>
        <v/>
      </c>
      <c r="L25" s="16" t="str">
        <f t="shared" ca="1" si="4"/>
        <v/>
      </c>
      <c r="M25" s="25" t="str">
        <f>IF(H25="","",IF(I25&lt;=0,"Shipped",IF(L25&lt;=AGE30,"Fresh",IF(L25&lt;=AGE60,"Watch",IF(L25&lt;=AGE90,"Aging","Old")))))</f>
        <v/>
      </c>
      <c r="N25" s="16" t="str">
        <f t="shared" si="5"/>
        <v/>
      </c>
    </row>
    <row r="26" spans="1:14" x14ac:dyDescent="0.2">
      <c r="A26" s="32"/>
      <c r="B26" s="27"/>
      <c r="C26" s="15" t="str">
        <f>IF(B26="","",IFERROR(INDEX(Items!$B$5:$B$19,MATCH(B26,Items!$A$5:$A$19,0)),"Unknown code"))</f>
        <v/>
      </c>
      <c r="D26" s="29"/>
      <c r="E26" s="18" t="str">
        <f>IF(B26="","",IFERROR(INDEX(Items!$C$5:$C$19,MATCH(B26,Items!$A$5:$A$19,0)),""))</f>
        <v/>
      </c>
      <c r="F26" s="18" t="str">
        <f t="shared" si="0"/>
        <v/>
      </c>
      <c r="G26" s="27"/>
      <c r="H26" s="23" t="str">
        <f>IF(OR(A26="",B26="",D26=""),"",IFERROR(INDEX(Items!$D$5:$D$19,MATCH(B26,Items!$A$5:$A$19,0))+SUMIFS(D$4:D25,B$4:B25,B26),""))</f>
        <v/>
      </c>
      <c r="I26" s="23" t="str">
        <f t="shared" si="1"/>
        <v/>
      </c>
      <c r="J26" s="23" t="str">
        <f t="shared" si="2"/>
        <v/>
      </c>
      <c r="K26" s="18" t="str">
        <f t="shared" si="3"/>
        <v/>
      </c>
      <c r="L26" s="16" t="str">
        <f t="shared" ca="1" si="4"/>
        <v/>
      </c>
      <c r="M26" s="25" t="str">
        <f>IF(H26="","",IF(I26&lt;=0,"Shipped",IF(L26&lt;=AGE30,"Fresh",IF(L26&lt;=AGE60,"Watch",IF(L26&lt;=AGE90,"Aging","Old")))))</f>
        <v/>
      </c>
      <c r="N26" s="16" t="str">
        <f t="shared" si="5"/>
        <v/>
      </c>
    </row>
    <row r="27" spans="1:14" x14ac:dyDescent="0.2">
      <c r="A27" s="32"/>
      <c r="B27" s="27"/>
      <c r="C27" s="15" t="str">
        <f>IF(B27="","",IFERROR(INDEX(Items!$B$5:$B$19,MATCH(B27,Items!$A$5:$A$19,0)),"Unknown code"))</f>
        <v/>
      </c>
      <c r="D27" s="29"/>
      <c r="E27" s="18" t="str">
        <f>IF(B27="","",IFERROR(INDEX(Items!$C$5:$C$19,MATCH(B27,Items!$A$5:$A$19,0)),""))</f>
        <v/>
      </c>
      <c r="F27" s="18" t="str">
        <f t="shared" si="0"/>
        <v/>
      </c>
      <c r="G27" s="27"/>
      <c r="H27" s="23" t="str">
        <f>IF(OR(A27="",B27="",D27=""),"",IFERROR(INDEX(Items!$D$5:$D$19,MATCH(B27,Items!$A$5:$A$19,0))+SUMIFS(D$4:D26,B$4:B26,B27),""))</f>
        <v/>
      </c>
      <c r="I27" s="23" t="str">
        <f t="shared" si="1"/>
        <v/>
      </c>
      <c r="J27" s="23" t="str">
        <f t="shared" si="2"/>
        <v/>
      </c>
      <c r="K27" s="18" t="str">
        <f t="shared" si="3"/>
        <v/>
      </c>
      <c r="L27" s="16" t="str">
        <f t="shared" ca="1" si="4"/>
        <v/>
      </c>
      <c r="M27" s="25" t="str">
        <f>IF(H27="","",IF(I27&lt;=0,"Shipped",IF(L27&lt;=AGE30,"Fresh",IF(L27&lt;=AGE60,"Watch",IF(L27&lt;=AGE90,"Aging","Old")))))</f>
        <v/>
      </c>
      <c r="N27" s="16" t="str">
        <f t="shared" si="5"/>
        <v/>
      </c>
    </row>
    <row r="28" spans="1:14" x14ac:dyDescent="0.2">
      <c r="A28" s="32"/>
      <c r="B28" s="27"/>
      <c r="C28" s="15" t="str">
        <f>IF(B28="","",IFERROR(INDEX(Items!$B$5:$B$19,MATCH(B28,Items!$A$5:$A$19,0)),"Unknown code"))</f>
        <v/>
      </c>
      <c r="D28" s="29"/>
      <c r="E28" s="18" t="str">
        <f>IF(B28="","",IFERROR(INDEX(Items!$C$5:$C$19,MATCH(B28,Items!$A$5:$A$19,0)),""))</f>
        <v/>
      </c>
      <c r="F28" s="18" t="str">
        <f t="shared" si="0"/>
        <v/>
      </c>
      <c r="G28" s="27"/>
      <c r="H28" s="23" t="str">
        <f>IF(OR(A28="",B28="",D28=""),"",IFERROR(INDEX(Items!$D$5:$D$19,MATCH(B28,Items!$A$5:$A$19,0))+SUMIFS(D$4:D27,B$4:B27,B28),""))</f>
        <v/>
      </c>
      <c r="I28" s="23" t="str">
        <f t="shared" si="1"/>
        <v/>
      </c>
      <c r="J28" s="23" t="str">
        <f t="shared" si="2"/>
        <v/>
      </c>
      <c r="K28" s="18" t="str">
        <f t="shared" si="3"/>
        <v/>
      </c>
      <c r="L28" s="16" t="str">
        <f t="shared" ca="1" si="4"/>
        <v/>
      </c>
      <c r="M28" s="25" t="str">
        <f>IF(H28="","",IF(I28&lt;=0,"Shipped",IF(L28&lt;=AGE30,"Fresh",IF(L28&lt;=AGE60,"Watch",IF(L28&lt;=AGE90,"Aging","Old")))))</f>
        <v/>
      </c>
      <c r="N28" s="16" t="str">
        <f t="shared" si="5"/>
        <v/>
      </c>
    </row>
    <row r="29" spans="1:14" x14ac:dyDescent="0.2">
      <c r="A29" s="32"/>
      <c r="B29" s="27"/>
      <c r="C29" s="15" t="str">
        <f>IF(B29="","",IFERROR(INDEX(Items!$B$5:$B$19,MATCH(B29,Items!$A$5:$A$19,0)),"Unknown code"))</f>
        <v/>
      </c>
      <c r="D29" s="29"/>
      <c r="E29" s="18" t="str">
        <f>IF(B29="","",IFERROR(INDEX(Items!$C$5:$C$19,MATCH(B29,Items!$A$5:$A$19,0)),""))</f>
        <v/>
      </c>
      <c r="F29" s="18" t="str">
        <f t="shared" si="0"/>
        <v/>
      </c>
      <c r="G29" s="27"/>
      <c r="H29" s="23" t="str">
        <f>IF(OR(A29="",B29="",D29=""),"",IFERROR(INDEX(Items!$D$5:$D$19,MATCH(B29,Items!$A$5:$A$19,0))+SUMIFS(D$4:D28,B$4:B28,B29),""))</f>
        <v/>
      </c>
      <c r="I29" s="23" t="str">
        <f t="shared" si="1"/>
        <v/>
      </c>
      <c r="J29" s="23" t="str">
        <f t="shared" si="2"/>
        <v/>
      </c>
      <c r="K29" s="18" t="str">
        <f t="shared" si="3"/>
        <v/>
      </c>
      <c r="L29" s="16" t="str">
        <f t="shared" ca="1" si="4"/>
        <v/>
      </c>
      <c r="M29" s="25" t="str">
        <f>IF(H29="","",IF(I29&lt;=0,"Shipped",IF(L29&lt;=AGE30,"Fresh",IF(L29&lt;=AGE60,"Watch",IF(L29&lt;=AGE90,"Aging","Old")))))</f>
        <v/>
      </c>
      <c r="N29" s="16" t="str">
        <f t="shared" si="5"/>
        <v/>
      </c>
    </row>
    <row r="30" spans="1:14" x14ac:dyDescent="0.2">
      <c r="A30" s="32"/>
      <c r="B30" s="27"/>
      <c r="C30" s="15" t="str">
        <f>IF(B30="","",IFERROR(INDEX(Items!$B$5:$B$19,MATCH(B30,Items!$A$5:$A$19,0)),"Unknown code"))</f>
        <v/>
      </c>
      <c r="D30" s="29"/>
      <c r="E30" s="18" t="str">
        <f>IF(B30="","",IFERROR(INDEX(Items!$C$5:$C$19,MATCH(B30,Items!$A$5:$A$19,0)),""))</f>
        <v/>
      </c>
      <c r="F30" s="18" t="str">
        <f t="shared" si="0"/>
        <v/>
      </c>
      <c r="G30" s="27"/>
      <c r="H30" s="23" t="str">
        <f>IF(OR(A30="",B30="",D30=""),"",IFERROR(INDEX(Items!$D$5:$D$19,MATCH(B30,Items!$A$5:$A$19,0))+SUMIFS(D$4:D29,B$4:B29,B30),""))</f>
        <v/>
      </c>
      <c r="I30" s="23" t="str">
        <f t="shared" si="1"/>
        <v/>
      </c>
      <c r="J30" s="23" t="str">
        <f t="shared" si="2"/>
        <v/>
      </c>
      <c r="K30" s="18" t="str">
        <f t="shared" si="3"/>
        <v/>
      </c>
      <c r="L30" s="16" t="str">
        <f t="shared" ca="1" si="4"/>
        <v/>
      </c>
      <c r="M30" s="25" t="str">
        <f>IF(H30="","",IF(I30&lt;=0,"Shipped",IF(L30&lt;=AGE30,"Fresh",IF(L30&lt;=AGE60,"Watch",IF(L30&lt;=AGE90,"Aging","Old")))))</f>
        <v/>
      </c>
      <c r="N30" s="16" t="str">
        <f t="shared" si="5"/>
        <v/>
      </c>
    </row>
    <row r="31" spans="1:14" x14ac:dyDescent="0.2">
      <c r="A31" s="32"/>
      <c r="B31" s="27"/>
      <c r="C31" s="15" t="str">
        <f>IF(B31="","",IFERROR(INDEX(Items!$B$5:$B$19,MATCH(B31,Items!$A$5:$A$19,0)),"Unknown code"))</f>
        <v/>
      </c>
      <c r="D31" s="29"/>
      <c r="E31" s="18" t="str">
        <f>IF(B31="","",IFERROR(INDEX(Items!$C$5:$C$19,MATCH(B31,Items!$A$5:$A$19,0)),""))</f>
        <v/>
      </c>
      <c r="F31" s="18" t="str">
        <f t="shared" si="0"/>
        <v/>
      </c>
      <c r="G31" s="27"/>
      <c r="H31" s="23" t="str">
        <f>IF(OR(A31="",B31="",D31=""),"",IFERROR(INDEX(Items!$D$5:$D$19,MATCH(B31,Items!$A$5:$A$19,0))+SUMIFS(D$4:D30,B$4:B30,B31),""))</f>
        <v/>
      </c>
      <c r="I31" s="23" t="str">
        <f t="shared" si="1"/>
        <v/>
      </c>
      <c r="J31" s="23" t="str">
        <f t="shared" si="2"/>
        <v/>
      </c>
      <c r="K31" s="18" t="str">
        <f t="shared" si="3"/>
        <v/>
      </c>
      <c r="L31" s="16" t="str">
        <f t="shared" ca="1" si="4"/>
        <v/>
      </c>
      <c r="M31" s="25" t="str">
        <f>IF(H31="","",IF(I31&lt;=0,"Shipped",IF(L31&lt;=AGE30,"Fresh",IF(L31&lt;=AGE60,"Watch",IF(L31&lt;=AGE90,"Aging","Old")))))</f>
        <v/>
      </c>
      <c r="N31" s="16" t="str">
        <f t="shared" si="5"/>
        <v/>
      </c>
    </row>
    <row r="32" spans="1:14" x14ac:dyDescent="0.2">
      <c r="A32" s="32"/>
      <c r="B32" s="27"/>
      <c r="C32" s="15" t="str">
        <f>IF(B32="","",IFERROR(INDEX(Items!$B$5:$B$19,MATCH(B32,Items!$A$5:$A$19,0)),"Unknown code"))</f>
        <v/>
      </c>
      <c r="D32" s="29"/>
      <c r="E32" s="18" t="str">
        <f>IF(B32="","",IFERROR(INDEX(Items!$C$5:$C$19,MATCH(B32,Items!$A$5:$A$19,0)),""))</f>
        <v/>
      </c>
      <c r="F32" s="18" t="str">
        <f t="shared" si="0"/>
        <v/>
      </c>
      <c r="G32" s="27"/>
      <c r="H32" s="23" t="str">
        <f>IF(OR(A32="",B32="",D32=""),"",IFERROR(INDEX(Items!$D$5:$D$19,MATCH(B32,Items!$A$5:$A$19,0))+SUMIFS(D$4:D31,B$4:B31,B32),""))</f>
        <v/>
      </c>
      <c r="I32" s="23" t="str">
        <f t="shared" si="1"/>
        <v/>
      </c>
      <c r="J32" s="23" t="str">
        <f t="shared" si="2"/>
        <v/>
      </c>
      <c r="K32" s="18" t="str">
        <f t="shared" si="3"/>
        <v/>
      </c>
      <c r="L32" s="16" t="str">
        <f t="shared" ca="1" si="4"/>
        <v/>
      </c>
      <c r="M32" s="25" t="str">
        <f>IF(H32="","",IF(I32&lt;=0,"Shipped",IF(L32&lt;=AGE30,"Fresh",IF(L32&lt;=AGE60,"Watch",IF(L32&lt;=AGE90,"Aging","Old")))))</f>
        <v/>
      </c>
      <c r="N32" s="16" t="str">
        <f t="shared" si="5"/>
        <v/>
      </c>
    </row>
    <row r="33" spans="1:14" x14ac:dyDescent="0.2">
      <c r="A33" s="32"/>
      <c r="B33" s="27"/>
      <c r="C33" s="15" t="str">
        <f>IF(B33="","",IFERROR(INDEX(Items!$B$5:$B$19,MATCH(B33,Items!$A$5:$A$19,0)),"Unknown code"))</f>
        <v/>
      </c>
      <c r="D33" s="29"/>
      <c r="E33" s="18" t="str">
        <f>IF(B33="","",IFERROR(INDEX(Items!$C$5:$C$19,MATCH(B33,Items!$A$5:$A$19,0)),""))</f>
        <v/>
      </c>
      <c r="F33" s="18" t="str">
        <f t="shared" si="0"/>
        <v/>
      </c>
      <c r="G33" s="27"/>
      <c r="H33" s="23" t="str">
        <f>IF(OR(A33="",B33="",D33=""),"",IFERROR(INDEX(Items!$D$5:$D$19,MATCH(B33,Items!$A$5:$A$19,0))+SUMIFS(D$4:D32,B$4:B32,B33),""))</f>
        <v/>
      </c>
      <c r="I33" s="23" t="str">
        <f t="shared" si="1"/>
        <v/>
      </c>
      <c r="J33" s="23" t="str">
        <f t="shared" si="2"/>
        <v/>
      </c>
      <c r="K33" s="18" t="str">
        <f t="shared" si="3"/>
        <v/>
      </c>
      <c r="L33" s="16" t="str">
        <f t="shared" ca="1" si="4"/>
        <v/>
      </c>
      <c r="M33" s="25" t="str">
        <f>IF(H33="","",IF(I33&lt;=0,"Shipped",IF(L33&lt;=AGE30,"Fresh",IF(L33&lt;=AGE60,"Watch",IF(L33&lt;=AGE90,"Aging","Old")))))</f>
        <v/>
      </c>
      <c r="N33" s="16" t="str">
        <f t="shared" si="5"/>
        <v/>
      </c>
    </row>
    <row r="34" spans="1:14" x14ac:dyDescent="0.2">
      <c r="A34" s="32"/>
      <c r="B34" s="27"/>
      <c r="C34" s="15" t="str">
        <f>IF(B34="","",IFERROR(INDEX(Items!$B$5:$B$19,MATCH(B34,Items!$A$5:$A$19,0)),"Unknown code"))</f>
        <v/>
      </c>
      <c r="D34" s="29"/>
      <c r="E34" s="18" t="str">
        <f>IF(B34="","",IFERROR(INDEX(Items!$C$5:$C$19,MATCH(B34,Items!$A$5:$A$19,0)),""))</f>
        <v/>
      </c>
      <c r="F34" s="18" t="str">
        <f t="shared" si="0"/>
        <v/>
      </c>
      <c r="G34" s="27"/>
      <c r="H34" s="23" t="str">
        <f>IF(OR(A34="",B34="",D34=""),"",IFERROR(INDEX(Items!$D$5:$D$19,MATCH(B34,Items!$A$5:$A$19,0))+SUMIFS(D$4:D33,B$4:B33,B34),""))</f>
        <v/>
      </c>
      <c r="I34" s="23" t="str">
        <f t="shared" si="1"/>
        <v/>
      </c>
      <c r="J34" s="23" t="str">
        <f t="shared" si="2"/>
        <v/>
      </c>
      <c r="K34" s="18" t="str">
        <f t="shared" si="3"/>
        <v/>
      </c>
      <c r="L34" s="16" t="str">
        <f t="shared" ca="1" si="4"/>
        <v/>
      </c>
      <c r="M34" s="25" t="str">
        <f>IF(H34="","",IF(I34&lt;=0,"Shipped",IF(L34&lt;=AGE30,"Fresh",IF(L34&lt;=AGE60,"Watch",IF(L34&lt;=AGE90,"Aging","Old")))))</f>
        <v/>
      </c>
      <c r="N34" s="16" t="str">
        <f t="shared" si="5"/>
        <v/>
      </c>
    </row>
    <row r="35" spans="1:14" x14ac:dyDescent="0.2">
      <c r="A35" s="32"/>
      <c r="B35" s="27"/>
      <c r="C35" s="15" t="str">
        <f>IF(B35="","",IFERROR(INDEX(Items!$B$5:$B$19,MATCH(B35,Items!$A$5:$A$19,0)),"Unknown code"))</f>
        <v/>
      </c>
      <c r="D35" s="29"/>
      <c r="E35" s="18" t="str">
        <f>IF(B35="","",IFERROR(INDEX(Items!$C$5:$C$19,MATCH(B35,Items!$A$5:$A$19,0)),""))</f>
        <v/>
      </c>
      <c r="F35" s="18" t="str">
        <f t="shared" si="0"/>
        <v/>
      </c>
      <c r="G35" s="27"/>
      <c r="H35" s="23" t="str">
        <f>IF(OR(A35="",B35="",D35=""),"",IFERROR(INDEX(Items!$D$5:$D$19,MATCH(B35,Items!$A$5:$A$19,0))+SUMIFS(D$4:D34,B$4:B34,B35),""))</f>
        <v/>
      </c>
      <c r="I35" s="23" t="str">
        <f t="shared" si="1"/>
        <v/>
      </c>
      <c r="J35" s="23" t="str">
        <f t="shared" si="2"/>
        <v/>
      </c>
      <c r="K35" s="18" t="str">
        <f t="shared" si="3"/>
        <v/>
      </c>
      <c r="L35" s="16" t="str">
        <f t="shared" ca="1" si="4"/>
        <v/>
      </c>
      <c r="M35" s="25" t="str">
        <f>IF(H35="","",IF(I35&lt;=0,"Shipped",IF(L35&lt;=AGE30,"Fresh",IF(L35&lt;=AGE60,"Watch",IF(L35&lt;=AGE90,"Aging","Old")))))</f>
        <v/>
      </c>
      <c r="N35" s="16" t="str">
        <f t="shared" si="5"/>
        <v/>
      </c>
    </row>
    <row r="36" spans="1:14" x14ac:dyDescent="0.2">
      <c r="A36" s="32"/>
      <c r="B36" s="27"/>
      <c r="C36" s="15" t="str">
        <f>IF(B36="","",IFERROR(INDEX(Items!$B$5:$B$19,MATCH(B36,Items!$A$5:$A$19,0)),"Unknown code"))</f>
        <v/>
      </c>
      <c r="D36" s="29"/>
      <c r="E36" s="18" t="str">
        <f>IF(B36="","",IFERROR(INDEX(Items!$C$5:$C$19,MATCH(B36,Items!$A$5:$A$19,0)),""))</f>
        <v/>
      </c>
      <c r="F36" s="18" t="str">
        <f t="shared" si="0"/>
        <v/>
      </c>
      <c r="G36" s="27"/>
      <c r="H36" s="23" t="str">
        <f>IF(OR(A36="",B36="",D36=""),"",IFERROR(INDEX(Items!$D$5:$D$19,MATCH(B36,Items!$A$5:$A$19,0))+SUMIFS(D$4:D35,B$4:B35,B36),""))</f>
        <v/>
      </c>
      <c r="I36" s="23" t="str">
        <f t="shared" si="1"/>
        <v/>
      </c>
      <c r="J36" s="23" t="str">
        <f t="shared" si="2"/>
        <v/>
      </c>
      <c r="K36" s="18" t="str">
        <f t="shared" si="3"/>
        <v/>
      </c>
      <c r="L36" s="16" t="str">
        <f t="shared" ca="1" si="4"/>
        <v/>
      </c>
      <c r="M36" s="25" t="str">
        <f>IF(H36="","",IF(I36&lt;=0,"Shipped",IF(L36&lt;=AGE30,"Fresh",IF(L36&lt;=AGE60,"Watch",IF(L36&lt;=AGE90,"Aging","Old")))))</f>
        <v/>
      </c>
      <c r="N36" s="16" t="str">
        <f t="shared" si="5"/>
        <v/>
      </c>
    </row>
    <row r="37" spans="1:14" x14ac:dyDescent="0.2">
      <c r="A37" s="32"/>
      <c r="B37" s="27"/>
      <c r="C37" s="15" t="str">
        <f>IF(B37="","",IFERROR(INDEX(Items!$B$5:$B$19,MATCH(B37,Items!$A$5:$A$19,0)),"Unknown code"))</f>
        <v/>
      </c>
      <c r="D37" s="29"/>
      <c r="E37" s="18" t="str">
        <f>IF(B37="","",IFERROR(INDEX(Items!$C$5:$C$19,MATCH(B37,Items!$A$5:$A$19,0)),""))</f>
        <v/>
      </c>
      <c r="F37" s="18" t="str">
        <f t="shared" si="0"/>
        <v/>
      </c>
      <c r="G37" s="27"/>
      <c r="H37" s="23" t="str">
        <f>IF(OR(A37="",B37="",D37=""),"",IFERROR(INDEX(Items!$D$5:$D$19,MATCH(B37,Items!$A$5:$A$19,0))+SUMIFS(D$4:D36,B$4:B36,B37),""))</f>
        <v/>
      </c>
      <c r="I37" s="23" t="str">
        <f t="shared" si="1"/>
        <v/>
      </c>
      <c r="J37" s="23" t="str">
        <f t="shared" si="2"/>
        <v/>
      </c>
      <c r="K37" s="18" t="str">
        <f t="shared" si="3"/>
        <v/>
      </c>
      <c r="L37" s="16" t="str">
        <f t="shared" ca="1" si="4"/>
        <v/>
      </c>
      <c r="M37" s="25" t="str">
        <f>IF(H37="","",IF(I37&lt;=0,"Shipped",IF(L37&lt;=AGE30,"Fresh",IF(L37&lt;=AGE60,"Watch",IF(L37&lt;=AGE90,"Aging","Old")))))</f>
        <v/>
      </c>
      <c r="N37" s="16" t="str">
        <f t="shared" si="5"/>
        <v/>
      </c>
    </row>
    <row r="38" spans="1:14" x14ac:dyDescent="0.2">
      <c r="A38" s="32"/>
      <c r="B38" s="27"/>
      <c r="C38" s="15" t="str">
        <f>IF(B38="","",IFERROR(INDEX(Items!$B$5:$B$19,MATCH(B38,Items!$A$5:$A$19,0)),"Unknown code"))</f>
        <v/>
      </c>
      <c r="D38" s="29"/>
      <c r="E38" s="18" t="str">
        <f>IF(B38="","",IFERROR(INDEX(Items!$C$5:$C$19,MATCH(B38,Items!$A$5:$A$19,0)),""))</f>
        <v/>
      </c>
      <c r="F38" s="18" t="str">
        <f t="shared" si="0"/>
        <v/>
      </c>
      <c r="G38" s="27"/>
      <c r="H38" s="23" t="str">
        <f>IF(OR(A38="",B38="",D38=""),"",IFERROR(INDEX(Items!$D$5:$D$19,MATCH(B38,Items!$A$5:$A$19,0))+SUMIFS(D$4:D37,B$4:B37,B38),""))</f>
        <v/>
      </c>
      <c r="I38" s="23" t="str">
        <f t="shared" si="1"/>
        <v/>
      </c>
      <c r="J38" s="23" t="str">
        <f t="shared" si="2"/>
        <v/>
      </c>
      <c r="K38" s="18" t="str">
        <f t="shared" si="3"/>
        <v/>
      </c>
      <c r="L38" s="16" t="str">
        <f t="shared" ca="1" si="4"/>
        <v/>
      </c>
      <c r="M38" s="25" t="str">
        <f>IF(H38="","",IF(I38&lt;=0,"Shipped",IF(L38&lt;=AGE30,"Fresh",IF(L38&lt;=AGE60,"Watch",IF(L38&lt;=AGE90,"Aging","Old")))))</f>
        <v/>
      </c>
      <c r="N38" s="16" t="str">
        <f t="shared" si="5"/>
        <v/>
      </c>
    </row>
    <row r="39" spans="1:14" x14ac:dyDescent="0.2">
      <c r="A39" s="32"/>
      <c r="B39" s="27"/>
      <c r="C39" s="15" t="str">
        <f>IF(B39="","",IFERROR(INDEX(Items!$B$5:$B$19,MATCH(B39,Items!$A$5:$A$19,0)),"Unknown code"))</f>
        <v/>
      </c>
      <c r="D39" s="29"/>
      <c r="E39" s="18" t="str">
        <f>IF(B39="","",IFERROR(INDEX(Items!$C$5:$C$19,MATCH(B39,Items!$A$5:$A$19,0)),""))</f>
        <v/>
      </c>
      <c r="F39" s="18" t="str">
        <f t="shared" si="0"/>
        <v/>
      </c>
      <c r="G39" s="27"/>
      <c r="H39" s="23" t="str">
        <f>IF(OR(A39="",B39="",D39=""),"",IFERROR(INDEX(Items!$D$5:$D$19,MATCH(B39,Items!$A$5:$A$19,0))+SUMIFS(D$4:D38,B$4:B38,B39),""))</f>
        <v/>
      </c>
      <c r="I39" s="23" t="str">
        <f t="shared" si="1"/>
        <v/>
      </c>
      <c r="J39" s="23" t="str">
        <f t="shared" si="2"/>
        <v/>
      </c>
      <c r="K39" s="18" t="str">
        <f t="shared" si="3"/>
        <v/>
      </c>
      <c r="L39" s="16" t="str">
        <f t="shared" ca="1" si="4"/>
        <v/>
      </c>
      <c r="M39" s="25" t="str">
        <f>IF(H39="","",IF(I39&lt;=0,"Shipped",IF(L39&lt;=AGE30,"Fresh",IF(L39&lt;=AGE60,"Watch",IF(L39&lt;=AGE90,"Aging","Old")))))</f>
        <v/>
      </c>
      <c r="N39" s="16" t="str">
        <f t="shared" si="5"/>
        <v/>
      </c>
    </row>
    <row r="40" spans="1:14" x14ac:dyDescent="0.2">
      <c r="A40" s="32"/>
      <c r="B40" s="27"/>
      <c r="C40" s="15" t="str">
        <f>IF(B40="","",IFERROR(INDEX(Items!$B$5:$B$19,MATCH(B40,Items!$A$5:$A$19,0)),"Unknown code"))</f>
        <v/>
      </c>
      <c r="D40" s="29"/>
      <c r="E40" s="18" t="str">
        <f>IF(B40="","",IFERROR(INDEX(Items!$C$5:$C$19,MATCH(B40,Items!$A$5:$A$19,0)),""))</f>
        <v/>
      </c>
      <c r="F40" s="18" t="str">
        <f t="shared" si="0"/>
        <v/>
      </c>
      <c r="G40" s="27"/>
      <c r="H40" s="23" t="str">
        <f>IF(OR(A40="",B40="",D40=""),"",IFERROR(INDEX(Items!$D$5:$D$19,MATCH(B40,Items!$A$5:$A$19,0))+SUMIFS(D$4:D39,B$4:B39,B40),""))</f>
        <v/>
      </c>
      <c r="I40" s="23" t="str">
        <f t="shared" si="1"/>
        <v/>
      </c>
      <c r="J40" s="23" t="str">
        <f t="shared" si="2"/>
        <v/>
      </c>
      <c r="K40" s="18" t="str">
        <f t="shared" si="3"/>
        <v/>
      </c>
      <c r="L40" s="16" t="str">
        <f t="shared" ca="1" si="4"/>
        <v/>
      </c>
      <c r="M40" s="25" t="str">
        <f>IF(H40="","",IF(I40&lt;=0,"Shipped",IF(L40&lt;=AGE30,"Fresh",IF(L40&lt;=AGE60,"Watch",IF(L40&lt;=AGE90,"Aging","Old")))))</f>
        <v/>
      </c>
      <c r="N40" s="16" t="str">
        <f t="shared" si="5"/>
        <v/>
      </c>
    </row>
    <row r="41" spans="1:14" x14ac:dyDescent="0.2">
      <c r="A41" s="32"/>
      <c r="B41" s="27"/>
      <c r="C41" s="15" t="str">
        <f>IF(B41="","",IFERROR(INDEX(Items!$B$5:$B$19,MATCH(B41,Items!$A$5:$A$19,0)),"Unknown code"))</f>
        <v/>
      </c>
      <c r="D41" s="29"/>
      <c r="E41" s="18" t="str">
        <f>IF(B41="","",IFERROR(INDEX(Items!$C$5:$C$19,MATCH(B41,Items!$A$5:$A$19,0)),""))</f>
        <v/>
      </c>
      <c r="F41" s="18" t="str">
        <f t="shared" si="0"/>
        <v/>
      </c>
      <c r="G41" s="27"/>
      <c r="H41" s="23" t="str">
        <f>IF(OR(A41="",B41="",D41=""),"",IFERROR(INDEX(Items!$D$5:$D$19,MATCH(B41,Items!$A$5:$A$19,0))+SUMIFS(D$4:D40,B$4:B40,B41),""))</f>
        <v/>
      </c>
      <c r="I41" s="23" t="str">
        <f t="shared" si="1"/>
        <v/>
      </c>
      <c r="J41" s="23" t="str">
        <f t="shared" si="2"/>
        <v/>
      </c>
      <c r="K41" s="18" t="str">
        <f t="shared" si="3"/>
        <v/>
      </c>
      <c r="L41" s="16" t="str">
        <f t="shared" ca="1" si="4"/>
        <v/>
      </c>
      <c r="M41" s="25" t="str">
        <f>IF(H41="","",IF(I41&lt;=0,"Shipped",IF(L41&lt;=AGE30,"Fresh",IF(L41&lt;=AGE60,"Watch",IF(L41&lt;=AGE90,"Aging","Old")))))</f>
        <v/>
      </c>
      <c r="N41" s="16" t="str">
        <f t="shared" si="5"/>
        <v/>
      </c>
    </row>
    <row r="42" spans="1:14" x14ac:dyDescent="0.2">
      <c r="A42" s="32"/>
      <c r="B42" s="27"/>
      <c r="C42" s="15" t="str">
        <f>IF(B42="","",IFERROR(INDEX(Items!$B$5:$B$19,MATCH(B42,Items!$A$5:$A$19,0)),"Unknown code"))</f>
        <v/>
      </c>
      <c r="D42" s="29"/>
      <c r="E42" s="18" t="str">
        <f>IF(B42="","",IFERROR(INDEX(Items!$C$5:$C$19,MATCH(B42,Items!$A$5:$A$19,0)),""))</f>
        <v/>
      </c>
      <c r="F42" s="18" t="str">
        <f t="shared" si="0"/>
        <v/>
      </c>
      <c r="G42" s="27"/>
      <c r="H42" s="23" t="str">
        <f>IF(OR(A42="",B42="",D42=""),"",IFERROR(INDEX(Items!$D$5:$D$19,MATCH(B42,Items!$A$5:$A$19,0))+SUMIFS(D$4:D41,B$4:B41,B42),""))</f>
        <v/>
      </c>
      <c r="I42" s="23" t="str">
        <f t="shared" si="1"/>
        <v/>
      </c>
      <c r="J42" s="23" t="str">
        <f t="shared" si="2"/>
        <v/>
      </c>
      <c r="K42" s="18" t="str">
        <f t="shared" si="3"/>
        <v/>
      </c>
      <c r="L42" s="16" t="str">
        <f t="shared" ca="1" si="4"/>
        <v/>
      </c>
      <c r="M42" s="25" t="str">
        <f>IF(H42="","",IF(I42&lt;=0,"Shipped",IF(L42&lt;=AGE30,"Fresh",IF(L42&lt;=AGE60,"Watch",IF(L42&lt;=AGE90,"Aging","Old")))))</f>
        <v/>
      </c>
      <c r="N42" s="16" t="str">
        <f t="shared" si="5"/>
        <v/>
      </c>
    </row>
    <row r="43" spans="1:14" x14ac:dyDescent="0.2">
      <c r="A43" s="32"/>
      <c r="B43" s="27"/>
      <c r="C43" s="15" t="str">
        <f>IF(B43="","",IFERROR(INDEX(Items!$B$5:$B$19,MATCH(B43,Items!$A$5:$A$19,0)),"Unknown code"))</f>
        <v/>
      </c>
      <c r="D43" s="29"/>
      <c r="E43" s="18" t="str">
        <f>IF(B43="","",IFERROR(INDEX(Items!$C$5:$C$19,MATCH(B43,Items!$A$5:$A$19,0)),""))</f>
        <v/>
      </c>
      <c r="F43" s="18" t="str">
        <f t="shared" si="0"/>
        <v/>
      </c>
      <c r="G43" s="27"/>
      <c r="H43" s="23" t="str">
        <f>IF(OR(A43="",B43="",D43=""),"",IFERROR(INDEX(Items!$D$5:$D$19,MATCH(B43,Items!$A$5:$A$19,0))+SUMIFS(D$4:D42,B$4:B42,B43),""))</f>
        <v/>
      </c>
      <c r="I43" s="23" t="str">
        <f t="shared" si="1"/>
        <v/>
      </c>
      <c r="J43" s="23" t="str">
        <f t="shared" si="2"/>
        <v/>
      </c>
      <c r="K43" s="18" t="str">
        <f t="shared" si="3"/>
        <v/>
      </c>
      <c r="L43" s="16" t="str">
        <f t="shared" ca="1" si="4"/>
        <v/>
      </c>
      <c r="M43" s="25" t="str">
        <f>IF(H43="","",IF(I43&lt;=0,"Shipped",IF(L43&lt;=AGE30,"Fresh",IF(L43&lt;=AGE60,"Watch",IF(L43&lt;=AGE90,"Aging","Old")))))</f>
        <v/>
      </c>
      <c r="N43" s="16" t="str">
        <f t="shared" si="5"/>
        <v/>
      </c>
    </row>
    <row r="44" spans="1:14" x14ac:dyDescent="0.2">
      <c r="A44" s="32"/>
      <c r="B44" s="27"/>
      <c r="C44" s="15" t="str">
        <f>IF(B44="","",IFERROR(INDEX(Items!$B$5:$B$19,MATCH(B44,Items!$A$5:$A$19,0)),"Unknown code"))</f>
        <v/>
      </c>
      <c r="D44" s="29"/>
      <c r="E44" s="18" t="str">
        <f>IF(B44="","",IFERROR(INDEX(Items!$C$5:$C$19,MATCH(B44,Items!$A$5:$A$19,0)),""))</f>
        <v/>
      </c>
      <c r="F44" s="18" t="str">
        <f t="shared" si="0"/>
        <v/>
      </c>
      <c r="G44" s="27"/>
      <c r="H44" s="23" t="str">
        <f>IF(OR(A44="",B44="",D44=""),"",IFERROR(INDEX(Items!$D$5:$D$19,MATCH(B44,Items!$A$5:$A$19,0))+SUMIFS(D$4:D43,B$4:B43,B44),""))</f>
        <v/>
      </c>
      <c r="I44" s="23" t="str">
        <f t="shared" si="1"/>
        <v/>
      </c>
      <c r="J44" s="23" t="str">
        <f t="shared" si="2"/>
        <v/>
      </c>
      <c r="K44" s="18" t="str">
        <f t="shared" si="3"/>
        <v/>
      </c>
      <c r="L44" s="16" t="str">
        <f t="shared" ca="1" si="4"/>
        <v/>
      </c>
      <c r="M44" s="25" t="str">
        <f>IF(H44="","",IF(I44&lt;=0,"Shipped",IF(L44&lt;=AGE30,"Fresh",IF(L44&lt;=AGE60,"Watch",IF(L44&lt;=AGE90,"Aging","Old")))))</f>
        <v/>
      </c>
      <c r="N44" s="16" t="str">
        <f t="shared" si="5"/>
        <v/>
      </c>
    </row>
    <row r="45" spans="1:14" x14ac:dyDescent="0.2">
      <c r="A45" s="32"/>
      <c r="B45" s="27"/>
      <c r="C45" s="15" t="str">
        <f>IF(B45="","",IFERROR(INDEX(Items!$B$5:$B$19,MATCH(B45,Items!$A$5:$A$19,0)),"Unknown code"))</f>
        <v/>
      </c>
      <c r="D45" s="29"/>
      <c r="E45" s="18" t="str">
        <f>IF(B45="","",IFERROR(INDEX(Items!$C$5:$C$19,MATCH(B45,Items!$A$5:$A$19,0)),""))</f>
        <v/>
      </c>
      <c r="F45" s="18" t="str">
        <f t="shared" si="0"/>
        <v/>
      </c>
      <c r="G45" s="27"/>
      <c r="H45" s="23" t="str">
        <f>IF(OR(A45="",B45="",D45=""),"",IFERROR(INDEX(Items!$D$5:$D$19,MATCH(B45,Items!$A$5:$A$19,0))+SUMIFS(D$4:D44,B$4:B44,B45),""))</f>
        <v/>
      </c>
      <c r="I45" s="23" t="str">
        <f t="shared" si="1"/>
        <v/>
      </c>
      <c r="J45" s="23" t="str">
        <f t="shared" si="2"/>
        <v/>
      </c>
      <c r="K45" s="18" t="str">
        <f t="shared" si="3"/>
        <v/>
      </c>
      <c r="L45" s="16" t="str">
        <f t="shared" ca="1" si="4"/>
        <v/>
      </c>
      <c r="M45" s="25" t="str">
        <f>IF(H45="","",IF(I45&lt;=0,"Shipped",IF(L45&lt;=AGE30,"Fresh",IF(L45&lt;=AGE60,"Watch",IF(L45&lt;=AGE90,"Aging","Old")))))</f>
        <v/>
      </c>
      <c r="N45" s="16" t="str">
        <f t="shared" si="5"/>
        <v/>
      </c>
    </row>
    <row r="46" spans="1:14" x14ac:dyDescent="0.2">
      <c r="A46" s="32"/>
      <c r="B46" s="27"/>
      <c r="C46" s="15" t="str">
        <f>IF(B46="","",IFERROR(INDEX(Items!$B$5:$B$19,MATCH(B46,Items!$A$5:$A$19,0)),"Unknown code"))</f>
        <v/>
      </c>
      <c r="D46" s="29"/>
      <c r="E46" s="18" t="str">
        <f>IF(B46="","",IFERROR(INDEX(Items!$C$5:$C$19,MATCH(B46,Items!$A$5:$A$19,0)),""))</f>
        <v/>
      </c>
      <c r="F46" s="18" t="str">
        <f t="shared" si="0"/>
        <v/>
      </c>
      <c r="G46" s="27"/>
      <c r="H46" s="23" t="str">
        <f>IF(OR(A46="",B46="",D46=""),"",IFERROR(INDEX(Items!$D$5:$D$19,MATCH(B46,Items!$A$5:$A$19,0))+SUMIFS(D$4:D45,B$4:B45,B46),""))</f>
        <v/>
      </c>
      <c r="I46" s="23" t="str">
        <f t="shared" si="1"/>
        <v/>
      </c>
      <c r="J46" s="23" t="str">
        <f t="shared" si="2"/>
        <v/>
      </c>
      <c r="K46" s="18" t="str">
        <f t="shared" si="3"/>
        <v/>
      </c>
      <c r="L46" s="16" t="str">
        <f t="shared" ca="1" si="4"/>
        <v/>
      </c>
      <c r="M46" s="25" t="str">
        <f>IF(H46="","",IF(I46&lt;=0,"Shipped",IF(L46&lt;=AGE30,"Fresh",IF(L46&lt;=AGE60,"Watch",IF(L46&lt;=AGE90,"Aging","Old")))))</f>
        <v/>
      </c>
      <c r="N46" s="16" t="str">
        <f t="shared" si="5"/>
        <v/>
      </c>
    </row>
    <row r="47" spans="1:14" x14ac:dyDescent="0.2">
      <c r="A47" s="32"/>
      <c r="B47" s="27"/>
      <c r="C47" s="15" t="str">
        <f>IF(B47="","",IFERROR(INDEX(Items!$B$5:$B$19,MATCH(B47,Items!$A$5:$A$19,0)),"Unknown code"))</f>
        <v/>
      </c>
      <c r="D47" s="29"/>
      <c r="E47" s="18" t="str">
        <f>IF(B47="","",IFERROR(INDEX(Items!$C$5:$C$19,MATCH(B47,Items!$A$5:$A$19,0)),""))</f>
        <v/>
      </c>
      <c r="F47" s="18" t="str">
        <f t="shared" si="0"/>
        <v/>
      </c>
      <c r="G47" s="27"/>
      <c r="H47" s="23" t="str">
        <f>IF(OR(A47="",B47="",D47=""),"",IFERROR(INDEX(Items!$D$5:$D$19,MATCH(B47,Items!$A$5:$A$19,0))+SUMIFS(D$4:D46,B$4:B46,B47),""))</f>
        <v/>
      </c>
      <c r="I47" s="23" t="str">
        <f t="shared" si="1"/>
        <v/>
      </c>
      <c r="J47" s="23" t="str">
        <f t="shared" si="2"/>
        <v/>
      </c>
      <c r="K47" s="18" t="str">
        <f t="shared" si="3"/>
        <v/>
      </c>
      <c r="L47" s="16" t="str">
        <f t="shared" ca="1" si="4"/>
        <v/>
      </c>
      <c r="M47" s="25" t="str">
        <f>IF(H47="","",IF(I47&lt;=0,"Shipped",IF(L47&lt;=AGE30,"Fresh",IF(L47&lt;=AGE60,"Watch",IF(L47&lt;=AGE90,"Aging","Old")))))</f>
        <v/>
      </c>
      <c r="N47" s="16" t="str">
        <f t="shared" si="5"/>
        <v/>
      </c>
    </row>
    <row r="48" spans="1:14" x14ac:dyDescent="0.2">
      <c r="A48" s="32"/>
      <c r="B48" s="27"/>
      <c r="C48" s="15" t="str">
        <f>IF(B48="","",IFERROR(INDEX(Items!$B$5:$B$19,MATCH(B48,Items!$A$5:$A$19,0)),"Unknown code"))</f>
        <v/>
      </c>
      <c r="D48" s="29"/>
      <c r="E48" s="18" t="str">
        <f>IF(B48="","",IFERROR(INDEX(Items!$C$5:$C$19,MATCH(B48,Items!$A$5:$A$19,0)),""))</f>
        <v/>
      </c>
      <c r="F48" s="18" t="str">
        <f t="shared" si="0"/>
        <v/>
      </c>
      <c r="G48" s="27"/>
      <c r="H48" s="23" t="str">
        <f>IF(OR(A48="",B48="",D48=""),"",IFERROR(INDEX(Items!$D$5:$D$19,MATCH(B48,Items!$A$5:$A$19,0))+SUMIFS(D$4:D47,B$4:B47,B48),""))</f>
        <v/>
      </c>
      <c r="I48" s="23" t="str">
        <f t="shared" si="1"/>
        <v/>
      </c>
      <c r="J48" s="23" t="str">
        <f t="shared" si="2"/>
        <v/>
      </c>
      <c r="K48" s="18" t="str">
        <f t="shared" si="3"/>
        <v/>
      </c>
      <c r="L48" s="16" t="str">
        <f t="shared" ca="1" si="4"/>
        <v/>
      </c>
      <c r="M48" s="25" t="str">
        <f>IF(H48="","",IF(I48&lt;=0,"Shipped",IF(L48&lt;=AGE30,"Fresh",IF(L48&lt;=AGE60,"Watch",IF(L48&lt;=AGE90,"Aging","Old")))))</f>
        <v/>
      </c>
      <c r="N48" s="16" t="str">
        <f t="shared" si="5"/>
        <v/>
      </c>
    </row>
    <row r="49" spans="1:14" x14ac:dyDescent="0.2">
      <c r="A49" s="32"/>
      <c r="B49" s="27"/>
      <c r="C49" s="15" t="str">
        <f>IF(B49="","",IFERROR(INDEX(Items!$B$5:$B$19,MATCH(B49,Items!$A$5:$A$19,0)),"Unknown code"))</f>
        <v/>
      </c>
      <c r="D49" s="29"/>
      <c r="E49" s="18" t="str">
        <f>IF(B49="","",IFERROR(INDEX(Items!$C$5:$C$19,MATCH(B49,Items!$A$5:$A$19,0)),""))</f>
        <v/>
      </c>
      <c r="F49" s="18" t="str">
        <f t="shared" si="0"/>
        <v/>
      </c>
      <c r="G49" s="27"/>
      <c r="H49" s="23" t="str">
        <f>IF(OR(A49="",B49="",D49=""),"",IFERROR(INDEX(Items!$D$5:$D$19,MATCH(B49,Items!$A$5:$A$19,0))+SUMIFS(D$4:D48,B$4:B48,B49),""))</f>
        <v/>
      </c>
      <c r="I49" s="23" t="str">
        <f t="shared" si="1"/>
        <v/>
      </c>
      <c r="J49" s="23" t="str">
        <f t="shared" si="2"/>
        <v/>
      </c>
      <c r="K49" s="18" t="str">
        <f t="shared" si="3"/>
        <v/>
      </c>
      <c r="L49" s="16" t="str">
        <f t="shared" ca="1" si="4"/>
        <v/>
      </c>
      <c r="M49" s="25" t="str">
        <f>IF(H49="","",IF(I49&lt;=0,"Shipped",IF(L49&lt;=AGE30,"Fresh",IF(L49&lt;=AGE60,"Watch",IF(L49&lt;=AGE90,"Aging","Old")))))</f>
        <v/>
      </c>
      <c r="N49" s="16" t="str">
        <f t="shared" si="5"/>
        <v/>
      </c>
    </row>
    <row r="50" spans="1:14" x14ac:dyDescent="0.2">
      <c r="A50" s="32"/>
      <c r="B50" s="27"/>
      <c r="C50" s="15" t="str">
        <f>IF(B50="","",IFERROR(INDEX(Items!$B$5:$B$19,MATCH(B50,Items!$A$5:$A$19,0)),"Unknown code"))</f>
        <v/>
      </c>
      <c r="D50" s="29"/>
      <c r="E50" s="18" t="str">
        <f>IF(B50="","",IFERROR(INDEX(Items!$C$5:$C$19,MATCH(B50,Items!$A$5:$A$19,0)),""))</f>
        <v/>
      </c>
      <c r="F50" s="18" t="str">
        <f t="shared" si="0"/>
        <v/>
      </c>
      <c r="G50" s="27"/>
      <c r="H50" s="23" t="str">
        <f>IF(OR(A50="",B50="",D50=""),"",IFERROR(INDEX(Items!$D$5:$D$19,MATCH(B50,Items!$A$5:$A$19,0))+SUMIFS(D$4:D49,B$4:B49,B50),""))</f>
        <v/>
      </c>
      <c r="I50" s="23" t="str">
        <f t="shared" si="1"/>
        <v/>
      </c>
      <c r="J50" s="23" t="str">
        <f t="shared" si="2"/>
        <v/>
      </c>
      <c r="K50" s="18" t="str">
        <f t="shared" si="3"/>
        <v/>
      </c>
      <c r="L50" s="16" t="str">
        <f t="shared" ca="1" si="4"/>
        <v/>
      </c>
      <c r="M50" s="25" t="str">
        <f>IF(H50="","",IF(I50&lt;=0,"Shipped",IF(L50&lt;=AGE30,"Fresh",IF(L50&lt;=AGE60,"Watch",IF(L50&lt;=AGE90,"Aging","Old")))))</f>
        <v/>
      </c>
      <c r="N50" s="16" t="str">
        <f t="shared" si="5"/>
        <v/>
      </c>
    </row>
    <row r="51" spans="1:14" x14ac:dyDescent="0.2">
      <c r="A51" s="32"/>
      <c r="B51" s="27"/>
      <c r="C51" s="15" t="str">
        <f>IF(B51="","",IFERROR(INDEX(Items!$B$5:$B$19,MATCH(B51,Items!$A$5:$A$19,0)),"Unknown code"))</f>
        <v/>
      </c>
      <c r="D51" s="29"/>
      <c r="E51" s="18" t="str">
        <f>IF(B51="","",IFERROR(INDEX(Items!$C$5:$C$19,MATCH(B51,Items!$A$5:$A$19,0)),""))</f>
        <v/>
      </c>
      <c r="F51" s="18" t="str">
        <f t="shared" si="0"/>
        <v/>
      </c>
      <c r="G51" s="27"/>
      <c r="H51" s="23" t="str">
        <f>IF(OR(A51="",B51="",D51=""),"",IFERROR(INDEX(Items!$D$5:$D$19,MATCH(B51,Items!$A$5:$A$19,0))+SUMIFS(D$4:D50,B$4:B50,B51),""))</f>
        <v/>
      </c>
      <c r="I51" s="23" t="str">
        <f t="shared" si="1"/>
        <v/>
      </c>
      <c r="J51" s="23" t="str">
        <f t="shared" si="2"/>
        <v/>
      </c>
      <c r="K51" s="18" t="str">
        <f t="shared" si="3"/>
        <v/>
      </c>
      <c r="L51" s="16" t="str">
        <f t="shared" ca="1" si="4"/>
        <v/>
      </c>
      <c r="M51" s="25" t="str">
        <f>IF(H51="","",IF(I51&lt;=0,"Shipped",IF(L51&lt;=AGE30,"Fresh",IF(L51&lt;=AGE60,"Watch",IF(L51&lt;=AGE90,"Aging","Old")))))</f>
        <v/>
      </c>
      <c r="N51" s="16" t="str">
        <f t="shared" si="5"/>
        <v/>
      </c>
    </row>
    <row r="52" spans="1:14" x14ac:dyDescent="0.2">
      <c r="A52" s="32"/>
      <c r="B52" s="27"/>
      <c r="C52" s="15" t="str">
        <f>IF(B52="","",IFERROR(INDEX(Items!$B$5:$B$19,MATCH(B52,Items!$A$5:$A$19,0)),"Unknown code"))</f>
        <v/>
      </c>
      <c r="D52" s="29"/>
      <c r="E52" s="18" t="str">
        <f>IF(B52="","",IFERROR(INDEX(Items!$C$5:$C$19,MATCH(B52,Items!$A$5:$A$19,0)),""))</f>
        <v/>
      </c>
      <c r="F52" s="18" t="str">
        <f t="shared" si="0"/>
        <v/>
      </c>
      <c r="G52" s="27"/>
      <c r="H52" s="23" t="str">
        <f>IF(OR(A52="",B52="",D52=""),"",IFERROR(INDEX(Items!$D$5:$D$19,MATCH(B52,Items!$A$5:$A$19,0))+SUMIFS(D$4:D51,B$4:B51,B52),""))</f>
        <v/>
      </c>
      <c r="I52" s="23" t="str">
        <f t="shared" si="1"/>
        <v/>
      </c>
      <c r="J52" s="23" t="str">
        <f t="shared" si="2"/>
        <v/>
      </c>
      <c r="K52" s="18" t="str">
        <f t="shared" si="3"/>
        <v/>
      </c>
      <c r="L52" s="16" t="str">
        <f t="shared" ca="1" si="4"/>
        <v/>
      </c>
      <c r="M52" s="25" t="str">
        <f>IF(H52="","",IF(I52&lt;=0,"Shipped",IF(L52&lt;=AGE30,"Fresh",IF(L52&lt;=AGE60,"Watch",IF(L52&lt;=AGE90,"Aging","Old")))))</f>
        <v/>
      </c>
      <c r="N52" s="16" t="str">
        <f t="shared" si="5"/>
        <v/>
      </c>
    </row>
    <row r="53" spans="1:14" x14ac:dyDescent="0.2">
      <c r="A53" s="32"/>
      <c r="B53" s="27"/>
      <c r="C53" s="15" t="str">
        <f>IF(B53="","",IFERROR(INDEX(Items!$B$5:$B$19,MATCH(B53,Items!$A$5:$A$19,0)),"Unknown code"))</f>
        <v/>
      </c>
      <c r="D53" s="29"/>
      <c r="E53" s="18" t="str">
        <f>IF(B53="","",IFERROR(INDEX(Items!$C$5:$C$19,MATCH(B53,Items!$A$5:$A$19,0)),""))</f>
        <v/>
      </c>
      <c r="F53" s="18" t="str">
        <f t="shared" si="0"/>
        <v/>
      </c>
      <c r="G53" s="27"/>
      <c r="H53" s="23" t="str">
        <f>IF(OR(A53="",B53="",D53=""),"",IFERROR(INDEX(Items!$D$5:$D$19,MATCH(B53,Items!$A$5:$A$19,0))+SUMIFS(D$4:D52,B$4:B52,B53),""))</f>
        <v/>
      </c>
      <c r="I53" s="23" t="str">
        <f t="shared" si="1"/>
        <v/>
      </c>
      <c r="J53" s="23" t="str">
        <f t="shared" si="2"/>
        <v/>
      </c>
      <c r="K53" s="18" t="str">
        <f t="shared" si="3"/>
        <v/>
      </c>
      <c r="L53" s="16" t="str">
        <f t="shared" ca="1" si="4"/>
        <v/>
      </c>
      <c r="M53" s="25" t="str">
        <f>IF(H53="","",IF(I53&lt;=0,"Shipped",IF(L53&lt;=AGE30,"Fresh",IF(L53&lt;=AGE60,"Watch",IF(L53&lt;=AGE90,"Aging","Old")))))</f>
        <v/>
      </c>
      <c r="N53" s="16" t="str">
        <f t="shared" si="5"/>
        <v/>
      </c>
    </row>
    <row r="54" spans="1:14" x14ac:dyDescent="0.2">
      <c r="A54" s="32"/>
      <c r="B54" s="27"/>
      <c r="C54" s="15" t="str">
        <f>IF(B54="","",IFERROR(INDEX(Items!$B$5:$B$19,MATCH(B54,Items!$A$5:$A$19,0)),"Unknown code"))</f>
        <v/>
      </c>
      <c r="D54" s="29"/>
      <c r="E54" s="18" t="str">
        <f>IF(B54="","",IFERROR(INDEX(Items!$C$5:$C$19,MATCH(B54,Items!$A$5:$A$19,0)),""))</f>
        <v/>
      </c>
      <c r="F54" s="18" t="str">
        <f t="shared" si="0"/>
        <v/>
      </c>
      <c r="G54" s="27"/>
      <c r="H54" s="23" t="str">
        <f>IF(OR(A54="",B54="",D54=""),"",IFERROR(INDEX(Items!$D$5:$D$19,MATCH(B54,Items!$A$5:$A$19,0))+SUMIFS(D$4:D53,B$4:B53,B54),""))</f>
        <v/>
      </c>
      <c r="I54" s="23" t="str">
        <f t="shared" si="1"/>
        <v/>
      </c>
      <c r="J54" s="23" t="str">
        <f t="shared" si="2"/>
        <v/>
      </c>
      <c r="K54" s="18" t="str">
        <f t="shared" si="3"/>
        <v/>
      </c>
      <c r="L54" s="16" t="str">
        <f t="shared" ca="1" si="4"/>
        <v/>
      </c>
      <c r="M54" s="25" t="str">
        <f>IF(H54="","",IF(I54&lt;=0,"Shipped",IF(L54&lt;=AGE30,"Fresh",IF(L54&lt;=AGE60,"Watch",IF(L54&lt;=AGE90,"Aging","Old")))))</f>
        <v/>
      </c>
      <c r="N54" s="16" t="str">
        <f t="shared" si="5"/>
        <v/>
      </c>
    </row>
    <row r="55" spans="1:14" x14ac:dyDescent="0.2">
      <c r="A55" s="32"/>
      <c r="B55" s="27"/>
      <c r="C55" s="15" t="str">
        <f>IF(B55="","",IFERROR(INDEX(Items!$B$5:$B$19,MATCH(B55,Items!$A$5:$A$19,0)),"Unknown code"))</f>
        <v/>
      </c>
      <c r="D55" s="29"/>
      <c r="E55" s="18" t="str">
        <f>IF(B55="","",IFERROR(INDEX(Items!$C$5:$C$19,MATCH(B55,Items!$A$5:$A$19,0)),""))</f>
        <v/>
      </c>
      <c r="F55" s="18" t="str">
        <f t="shared" si="0"/>
        <v/>
      </c>
      <c r="G55" s="27"/>
      <c r="H55" s="23" t="str">
        <f>IF(OR(A55="",B55="",D55=""),"",IFERROR(INDEX(Items!$D$5:$D$19,MATCH(B55,Items!$A$5:$A$19,0))+SUMIFS(D$4:D54,B$4:B54,B55),""))</f>
        <v/>
      </c>
      <c r="I55" s="23" t="str">
        <f t="shared" si="1"/>
        <v/>
      </c>
      <c r="J55" s="23" t="str">
        <f t="shared" si="2"/>
        <v/>
      </c>
      <c r="K55" s="18" t="str">
        <f t="shared" si="3"/>
        <v/>
      </c>
      <c r="L55" s="16" t="str">
        <f t="shared" ca="1" si="4"/>
        <v/>
      </c>
      <c r="M55" s="25" t="str">
        <f>IF(H55="","",IF(I55&lt;=0,"Shipped",IF(L55&lt;=AGE30,"Fresh",IF(L55&lt;=AGE60,"Watch",IF(L55&lt;=AGE90,"Aging","Old")))))</f>
        <v/>
      </c>
      <c r="N55" s="16" t="str">
        <f t="shared" si="5"/>
        <v/>
      </c>
    </row>
    <row r="56" spans="1:14" x14ac:dyDescent="0.2">
      <c r="A56" s="32"/>
      <c r="B56" s="27"/>
      <c r="C56" s="15" t="str">
        <f>IF(B56="","",IFERROR(INDEX(Items!$B$5:$B$19,MATCH(B56,Items!$A$5:$A$19,0)),"Unknown code"))</f>
        <v/>
      </c>
      <c r="D56" s="29"/>
      <c r="E56" s="18" t="str">
        <f>IF(B56="","",IFERROR(INDEX(Items!$C$5:$C$19,MATCH(B56,Items!$A$5:$A$19,0)),""))</f>
        <v/>
      </c>
      <c r="F56" s="18" t="str">
        <f t="shared" si="0"/>
        <v/>
      </c>
      <c r="G56" s="27"/>
      <c r="H56" s="23" t="str">
        <f>IF(OR(A56="",B56="",D56=""),"",IFERROR(INDEX(Items!$D$5:$D$19,MATCH(B56,Items!$A$5:$A$19,0))+SUMIFS(D$4:D55,B$4:B55,B56),""))</f>
        <v/>
      </c>
      <c r="I56" s="23" t="str">
        <f t="shared" si="1"/>
        <v/>
      </c>
      <c r="J56" s="23" t="str">
        <f t="shared" si="2"/>
        <v/>
      </c>
      <c r="K56" s="18" t="str">
        <f t="shared" si="3"/>
        <v/>
      </c>
      <c r="L56" s="16" t="str">
        <f t="shared" ca="1" si="4"/>
        <v/>
      </c>
      <c r="M56" s="25" t="str">
        <f>IF(H56="","",IF(I56&lt;=0,"Shipped",IF(L56&lt;=AGE30,"Fresh",IF(L56&lt;=AGE60,"Watch",IF(L56&lt;=AGE90,"Aging","Old")))))</f>
        <v/>
      </c>
      <c r="N56" s="16" t="str">
        <f t="shared" si="5"/>
        <v/>
      </c>
    </row>
    <row r="57" spans="1:14" x14ac:dyDescent="0.2">
      <c r="A57" s="32"/>
      <c r="B57" s="27"/>
      <c r="C57" s="15" t="str">
        <f>IF(B57="","",IFERROR(INDEX(Items!$B$5:$B$19,MATCH(B57,Items!$A$5:$A$19,0)),"Unknown code"))</f>
        <v/>
      </c>
      <c r="D57" s="29"/>
      <c r="E57" s="18" t="str">
        <f>IF(B57="","",IFERROR(INDEX(Items!$C$5:$C$19,MATCH(B57,Items!$A$5:$A$19,0)),""))</f>
        <v/>
      </c>
      <c r="F57" s="18" t="str">
        <f t="shared" si="0"/>
        <v/>
      </c>
      <c r="G57" s="27"/>
      <c r="H57" s="23" t="str">
        <f>IF(OR(A57="",B57="",D57=""),"",IFERROR(INDEX(Items!$D$5:$D$19,MATCH(B57,Items!$A$5:$A$19,0))+SUMIFS(D$4:D56,B$4:B56,B57),""))</f>
        <v/>
      </c>
      <c r="I57" s="23" t="str">
        <f t="shared" si="1"/>
        <v/>
      </c>
      <c r="J57" s="23" t="str">
        <f t="shared" si="2"/>
        <v/>
      </c>
      <c r="K57" s="18" t="str">
        <f t="shared" si="3"/>
        <v/>
      </c>
      <c r="L57" s="16" t="str">
        <f t="shared" ca="1" si="4"/>
        <v/>
      </c>
      <c r="M57" s="25" t="str">
        <f>IF(H57="","",IF(I57&lt;=0,"Shipped",IF(L57&lt;=AGE30,"Fresh",IF(L57&lt;=AGE60,"Watch",IF(L57&lt;=AGE90,"Aging","Old")))))</f>
        <v/>
      </c>
      <c r="N57" s="16" t="str">
        <f t="shared" si="5"/>
        <v/>
      </c>
    </row>
    <row r="58" spans="1:14" x14ac:dyDescent="0.2">
      <c r="A58" s="32"/>
      <c r="B58" s="27"/>
      <c r="C58" s="15" t="str">
        <f>IF(B58="","",IFERROR(INDEX(Items!$B$5:$B$19,MATCH(B58,Items!$A$5:$A$19,0)),"Unknown code"))</f>
        <v/>
      </c>
      <c r="D58" s="29"/>
      <c r="E58" s="18" t="str">
        <f>IF(B58="","",IFERROR(INDEX(Items!$C$5:$C$19,MATCH(B58,Items!$A$5:$A$19,0)),""))</f>
        <v/>
      </c>
      <c r="F58" s="18" t="str">
        <f t="shared" si="0"/>
        <v/>
      </c>
      <c r="G58" s="27"/>
      <c r="H58" s="23" t="str">
        <f>IF(OR(A58="",B58="",D58=""),"",IFERROR(INDEX(Items!$D$5:$D$19,MATCH(B58,Items!$A$5:$A$19,0))+SUMIFS(D$4:D57,B$4:B57,B58),""))</f>
        <v/>
      </c>
      <c r="I58" s="23" t="str">
        <f t="shared" si="1"/>
        <v/>
      </c>
      <c r="J58" s="23" t="str">
        <f t="shared" si="2"/>
        <v/>
      </c>
      <c r="K58" s="18" t="str">
        <f t="shared" si="3"/>
        <v/>
      </c>
      <c r="L58" s="16" t="str">
        <f t="shared" ca="1" si="4"/>
        <v/>
      </c>
      <c r="M58" s="25" t="str">
        <f>IF(H58="","",IF(I58&lt;=0,"Shipped",IF(L58&lt;=AGE30,"Fresh",IF(L58&lt;=AGE60,"Watch",IF(L58&lt;=AGE90,"Aging","Old")))))</f>
        <v/>
      </c>
      <c r="N58" s="16" t="str">
        <f t="shared" si="5"/>
        <v/>
      </c>
    </row>
    <row r="59" spans="1:14" x14ac:dyDescent="0.2">
      <c r="A59" s="32"/>
      <c r="B59" s="27"/>
      <c r="C59" s="15" t="str">
        <f>IF(B59="","",IFERROR(INDEX(Items!$B$5:$B$19,MATCH(B59,Items!$A$5:$A$19,0)),"Unknown code"))</f>
        <v/>
      </c>
      <c r="D59" s="29"/>
      <c r="E59" s="18" t="str">
        <f>IF(B59="","",IFERROR(INDEX(Items!$C$5:$C$19,MATCH(B59,Items!$A$5:$A$19,0)),""))</f>
        <v/>
      </c>
      <c r="F59" s="18" t="str">
        <f t="shared" si="0"/>
        <v/>
      </c>
      <c r="G59" s="27"/>
      <c r="H59" s="23" t="str">
        <f>IF(OR(A59="",B59="",D59=""),"",IFERROR(INDEX(Items!$D$5:$D$19,MATCH(B59,Items!$A$5:$A$19,0))+SUMIFS(D$4:D58,B$4:B58,B59),""))</f>
        <v/>
      </c>
      <c r="I59" s="23" t="str">
        <f t="shared" si="1"/>
        <v/>
      </c>
      <c r="J59" s="23" t="str">
        <f t="shared" si="2"/>
        <v/>
      </c>
      <c r="K59" s="18" t="str">
        <f t="shared" si="3"/>
        <v/>
      </c>
      <c r="L59" s="16" t="str">
        <f t="shared" ca="1" si="4"/>
        <v/>
      </c>
      <c r="M59" s="25" t="str">
        <f>IF(H59="","",IF(I59&lt;=0,"Shipped",IF(L59&lt;=AGE30,"Fresh",IF(L59&lt;=AGE60,"Watch",IF(L59&lt;=AGE90,"Aging","Old")))))</f>
        <v/>
      </c>
      <c r="N59" s="16" t="str">
        <f t="shared" si="5"/>
        <v/>
      </c>
    </row>
    <row r="60" spans="1:14" x14ac:dyDescent="0.2">
      <c r="A60" s="32"/>
      <c r="B60" s="27"/>
      <c r="C60" s="15" t="str">
        <f>IF(B60="","",IFERROR(INDEX(Items!$B$5:$B$19,MATCH(B60,Items!$A$5:$A$19,0)),"Unknown code"))</f>
        <v/>
      </c>
      <c r="D60" s="29"/>
      <c r="E60" s="18" t="str">
        <f>IF(B60="","",IFERROR(INDEX(Items!$C$5:$C$19,MATCH(B60,Items!$A$5:$A$19,0)),""))</f>
        <v/>
      </c>
      <c r="F60" s="18" t="str">
        <f t="shared" si="0"/>
        <v/>
      </c>
      <c r="G60" s="27"/>
      <c r="H60" s="23" t="str">
        <f>IF(OR(A60="",B60="",D60=""),"",IFERROR(INDEX(Items!$D$5:$D$19,MATCH(B60,Items!$A$5:$A$19,0))+SUMIFS(D$4:D59,B$4:B59,B60),""))</f>
        <v/>
      </c>
      <c r="I60" s="23" t="str">
        <f t="shared" si="1"/>
        <v/>
      </c>
      <c r="J60" s="23" t="str">
        <f t="shared" si="2"/>
        <v/>
      </c>
      <c r="K60" s="18" t="str">
        <f t="shared" si="3"/>
        <v/>
      </c>
      <c r="L60" s="16" t="str">
        <f t="shared" ca="1" si="4"/>
        <v/>
      </c>
      <c r="M60" s="25" t="str">
        <f>IF(H60="","",IF(I60&lt;=0,"Shipped",IF(L60&lt;=AGE30,"Fresh",IF(L60&lt;=AGE60,"Watch",IF(L60&lt;=AGE90,"Aging","Old")))))</f>
        <v/>
      </c>
      <c r="N60" s="16" t="str">
        <f t="shared" si="5"/>
        <v/>
      </c>
    </row>
    <row r="61" spans="1:14" x14ac:dyDescent="0.2">
      <c r="A61" s="32"/>
      <c r="B61" s="27"/>
      <c r="C61" s="15" t="str">
        <f>IF(B61="","",IFERROR(INDEX(Items!$B$5:$B$19,MATCH(B61,Items!$A$5:$A$19,0)),"Unknown code"))</f>
        <v/>
      </c>
      <c r="D61" s="29"/>
      <c r="E61" s="18" t="str">
        <f>IF(B61="","",IFERROR(INDEX(Items!$C$5:$C$19,MATCH(B61,Items!$A$5:$A$19,0)),""))</f>
        <v/>
      </c>
      <c r="F61" s="18" t="str">
        <f t="shared" si="0"/>
        <v/>
      </c>
      <c r="G61" s="27"/>
      <c r="H61" s="23" t="str">
        <f>IF(OR(A61="",B61="",D61=""),"",IFERROR(INDEX(Items!$D$5:$D$19,MATCH(B61,Items!$A$5:$A$19,0))+SUMIFS(D$4:D60,B$4:B60,B61),""))</f>
        <v/>
      </c>
      <c r="I61" s="23" t="str">
        <f t="shared" si="1"/>
        <v/>
      </c>
      <c r="J61" s="23" t="str">
        <f t="shared" si="2"/>
        <v/>
      </c>
      <c r="K61" s="18" t="str">
        <f t="shared" si="3"/>
        <v/>
      </c>
      <c r="L61" s="16" t="str">
        <f t="shared" ca="1" si="4"/>
        <v/>
      </c>
      <c r="M61" s="25" t="str">
        <f>IF(H61="","",IF(I61&lt;=0,"Shipped",IF(L61&lt;=AGE30,"Fresh",IF(L61&lt;=AGE60,"Watch",IF(L61&lt;=AGE90,"Aging","Old")))))</f>
        <v/>
      </c>
      <c r="N61" s="16" t="str">
        <f t="shared" si="5"/>
        <v/>
      </c>
    </row>
    <row r="62" spans="1:14" x14ac:dyDescent="0.2">
      <c r="A62" s="32"/>
      <c r="B62" s="27"/>
      <c r="C62" s="15" t="str">
        <f>IF(B62="","",IFERROR(INDEX(Items!$B$5:$B$19,MATCH(B62,Items!$A$5:$A$19,0)),"Unknown code"))</f>
        <v/>
      </c>
      <c r="D62" s="29"/>
      <c r="E62" s="18" t="str">
        <f>IF(B62="","",IFERROR(INDEX(Items!$C$5:$C$19,MATCH(B62,Items!$A$5:$A$19,0)),""))</f>
        <v/>
      </c>
      <c r="F62" s="18" t="str">
        <f t="shared" si="0"/>
        <v/>
      </c>
      <c r="G62" s="27"/>
      <c r="H62" s="23" t="str">
        <f>IF(OR(A62="",B62="",D62=""),"",IFERROR(INDEX(Items!$D$5:$D$19,MATCH(B62,Items!$A$5:$A$19,0))+SUMIFS(D$4:D61,B$4:B61,B62),""))</f>
        <v/>
      </c>
      <c r="I62" s="23" t="str">
        <f t="shared" si="1"/>
        <v/>
      </c>
      <c r="J62" s="23" t="str">
        <f t="shared" si="2"/>
        <v/>
      </c>
      <c r="K62" s="18" t="str">
        <f t="shared" si="3"/>
        <v/>
      </c>
      <c r="L62" s="16" t="str">
        <f t="shared" ca="1" si="4"/>
        <v/>
      </c>
      <c r="M62" s="25" t="str">
        <f>IF(H62="","",IF(I62&lt;=0,"Shipped",IF(L62&lt;=AGE30,"Fresh",IF(L62&lt;=AGE60,"Watch",IF(L62&lt;=AGE90,"Aging","Old")))))</f>
        <v/>
      </c>
      <c r="N62" s="16" t="str">
        <f t="shared" si="5"/>
        <v/>
      </c>
    </row>
    <row r="63" spans="1:14" x14ac:dyDescent="0.2">
      <c r="A63" s="32"/>
      <c r="B63" s="27"/>
      <c r="C63" s="15" t="str">
        <f>IF(B63="","",IFERROR(INDEX(Items!$B$5:$B$19,MATCH(B63,Items!$A$5:$A$19,0)),"Unknown code"))</f>
        <v/>
      </c>
      <c r="D63" s="29"/>
      <c r="E63" s="18" t="str">
        <f>IF(B63="","",IFERROR(INDEX(Items!$C$5:$C$19,MATCH(B63,Items!$A$5:$A$19,0)),""))</f>
        <v/>
      </c>
      <c r="F63" s="18" t="str">
        <f t="shared" si="0"/>
        <v/>
      </c>
      <c r="G63" s="27"/>
      <c r="H63" s="23" t="str">
        <f>IF(OR(A63="",B63="",D63=""),"",IFERROR(INDEX(Items!$D$5:$D$19,MATCH(B63,Items!$A$5:$A$19,0))+SUMIFS(D$4:D62,B$4:B62,B63),""))</f>
        <v/>
      </c>
      <c r="I63" s="23" t="str">
        <f t="shared" si="1"/>
        <v/>
      </c>
      <c r="J63" s="23" t="str">
        <f t="shared" si="2"/>
        <v/>
      </c>
      <c r="K63" s="18" t="str">
        <f t="shared" si="3"/>
        <v/>
      </c>
      <c r="L63" s="16" t="str">
        <f t="shared" ca="1" si="4"/>
        <v/>
      </c>
      <c r="M63" s="25" t="str">
        <f>IF(H63="","",IF(I63&lt;=0,"Shipped",IF(L63&lt;=AGE30,"Fresh",IF(L63&lt;=AGE60,"Watch",IF(L63&lt;=AGE90,"Aging","Old")))))</f>
        <v/>
      </c>
      <c r="N63" s="16" t="str">
        <f t="shared" si="5"/>
        <v/>
      </c>
    </row>
    <row r="64" spans="1:14" x14ac:dyDescent="0.2">
      <c r="A64" s="32"/>
      <c r="B64" s="27"/>
      <c r="C64" s="15" t="str">
        <f>IF(B64="","",IFERROR(INDEX(Items!$B$5:$B$19,MATCH(B64,Items!$A$5:$A$19,0)),"Unknown code"))</f>
        <v/>
      </c>
      <c r="D64" s="29"/>
      <c r="E64" s="18" t="str">
        <f>IF(B64="","",IFERROR(INDEX(Items!$C$5:$C$19,MATCH(B64,Items!$A$5:$A$19,0)),""))</f>
        <v/>
      </c>
      <c r="F64" s="18" t="str">
        <f t="shared" si="0"/>
        <v/>
      </c>
      <c r="G64" s="27"/>
      <c r="H64" s="23" t="str">
        <f>IF(OR(A64="",B64="",D64=""),"",IFERROR(INDEX(Items!$D$5:$D$19,MATCH(B64,Items!$A$5:$A$19,0))+SUMIFS(D$4:D63,B$4:B63,B64),""))</f>
        <v/>
      </c>
      <c r="I64" s="23" t="str">
        <f t="shared" si="1"/>
        <v/>
      </c>
      <c r="J64" s="23" t="str">
        <f t="shared" si="2"/>
        <v/>
      </c>
      <c r="K64" s="18" t="str">
        <f t="shared" si="3"/>
        <v/>
      </c>
      <c r="L64" s="16" t="str">
        <f t="shared" ca="1" si="4"/>
        <v/>
      </c>
      <c r="M64" s="25" t="str">
        <f>IF(H64="","",IF(I64&lt;=0,"Shipped",IF(L64&lt;=AGE30,"Fresh",IF(L64&lt;=AGE60,"Watch",IF(L64&lt;=AGE90,"Aging","Old")))))</f>
        <v/>
      </c>
      <c r="N64" s="16" t="str">
        <f t="shared" si="5"/>
        <v/>
      </c>
    </row>
    <row r="65" spans="1:14" x14ac:dyDescent="0.2">
      <c r="A65" s="32"/>
      <c r="B65" s="27"/>
      <c r="C65" s="15" t="str">
        <f>IF(B65="","",IFERROR(INDEX(Items!$B$5:$B$19,MATCH(B65,Items!$A$5:$A$19,0)),"Unknown code"))</f>
        <v/>
      </c>
      <c r="D65" s="29"/>
      <c r="E65" s="18" t="str">
        <f>IF(B65="","",IFERROR(INDEX(Items!$C$5:$C$19,MATCH(B65,Items!$A$5:$A$19,0)),""))</f>
        <v/>
      </c>
      <c r="F65" s="18" t="str">
        <f t="shared" si="0"/>
        <v/>
      </c>
      <c r="G65" s="27"/>
      <c r="H65" s="23" t="str">
        <f>IF(OR(A65="",B65="",D65=""),"",IFERROR(INDEX(Items!$D$5:$D$19,MATCH(B65,Items!$A$5:$A$19,0))+SUMIFS(D$4:D64,B$4:B64,B65),""))</f>
        <v/>
      </c>
      <c r="I65" s="23" t="str">
        <f t="shared" si="1"/>
        <v/>
      </c>
      <c r="J65" s="23" t="str">
        <f t="shared" si="2"/>
        <v/>
      </c>
      <c r="K65" s="18" t="str">
        <f t="shared" si="3"/>
        <v/>
      </c>
      <c r="L65" s="16" t="str">
        <f t="shared" ca="1" si="4"/>
        <v/>
      </c>
      <c r="M65" s="25" t="str">
        <f>IF(H65="","",IF(I65&lt;=0,"Shipped",IF(L65&lt;=AGE30,"Fresh",IF(L65&lt;=AGE60,"Watch",IF(L65&lt;=AGE90,"Aging","Old")))))</f>
        <v/>
      </c>
      <c r="N65" s="16" t="str">
        <f t="shared" si="5"/>
        <v/>
      </c>
    </row>
    <row r="66" spans="1:14" x14ac:dyDescent="0.2">
      <c r="A66" s="32"/>
      <c r="B66" s="27"/>
      <c r="C66" s="15" t="str">
        <f>IF(B66="","",IFERROR(INDEX(Items!$B$5:$B$19,MATCH(B66,Items!$A$5:$A$19,0)),"Unknown code"))</f>
        <v/>
      </c>
      <c r="D66" s="29"/>
      <c r="E66" s="18" t="str">
        <f>IF(B66="","",IFERROR(INDEX(Items!$C$5:$C$19,MATCH(B66,Items!$A$5:$A$19,0)),""))</f>
        <v/>
      </c>
      <c r="F66" s="18" t="str">
        <f t="shared" si="0"/>
        <v/>
      </c>
      <c r="G66" s="27"/>
      <c r="H66" s="23" t="str">
        <f>IF(OR(A66="",B66="",D66=""),"",IFERROR(INDEX(Items!$D$5:$D$19,MATCH(B66,Items!$A$5:$A$19,0))+SUMIFS(D$4:D65,B$4:B65,B66),""))</f>
        <v/>
      </c>
      <c r="I66" s="23" t="str">
        <f t="shared" si="1"/>
        <v/>
      </c>
      <c r="J66" s="23" t="str">
        <f t="shared" si="2"/>
        <v/>
      </c>
      <c r="K66" s="18" t="str">
        <f t="shared" si="3"/>
        <v/>
      </c>
      <c r="L66" s="16" t="str">
        <f t="shared" ca="1" si="4"/>
        <v/>
      </c>
      <c r="M66" s="25" t="str">
        <f>IF(H66="","",IF(I66&lt;=0,"Shipped",IF(L66&lt;=AGE30,"Fresh",IF(L66&lt;=AGE60,"Watch",IF(L66&lt;=AGE90,"Aging","Old")))))</f>
        <v/>
      </c>
      <c r="N66" s="16" t="str">
        <f t="shared" si="5"/>
        <v/>
      </c>
    </row>
    <row r="67" spans="1:14" x14ac:dyDescent="0.2">
      <c r="A67" s="32"/>
      <c r="B67" s="27"/>
      <c r="C67" s="15" t="str">
        <f>IF(B67="","",IFERROR(INDEX(Items!$B$5:$B$19,MATCH(B67,Items!$A$5:$A$19,0)),"Unknown code"))</f>
        <v/>
      </c>
      <c r="D67" s="29"/>
      <c r="E67" s="18" t="str">
        <f>IF(B67="","",IFERROR(INDEX(Items!$C$5:$C$19,MATCH(B67,Items!$A$5:$A$19,0)),""))</f>
        <v/>
      </c>
      <c r="F67" s="18" t="str">
        <f t="shared" si="0"/>
        <v/>
      </c>
      <c r="G67" s="27"/>
      <c r="H67" s="23" t="str">
        <f>IF(OR(A67="",B67="",D67=""),"",IFERROR(INDEX(Items!$D$5:$D$19,MATCH(B67,Items!$A$5:$A$19,0))+SUMIFS(D$4:D66,B$4:B66,B67),""))</f>
        <v/>
      </c>
      <c r="I67" s="23" t="str">
        <f t="shared" si="1"/>
        <v/>
      </c>
      <c r="J67" s="23" t="str">
        <f t="shared" si="2"/>
        <v/>
      </c>
      <c r="K67" s="18" t="str">
        <f t="shared" si="3"/>
        <v/>
      </c>
      <c r="L67" s="16" t="str">
        <f t="shared" ca="1" si="4"/>
        <v/>
      </c>
      <c r="M67" s="25" t="str">
        <f>IF(H67="","",IF(I67&lt;=0,"Shipped",IF(L67&lt;=AGE30,"Fresh",IF(L67&lt;=AGE60,"Watch",IF(L67&lt;=AGE90,"Aging","Old")))))</f>
        <v/>
      </c>
      <c r="N67" s="16" t="str">
        <f t="shared" si="5"/>
        <v/>
      </c>
    </row>
    <row r="68" spans="1:14" x14ac:dyDescent="0.2">
      <c r="A68" s="32"/>
      <c r="B68" s="27"/>
      <c r="C68" s="15" t="str">
        <f>IF(B68="","",IFERROR(INDEX(Items!$B$5:$B$19,MATCH(B68,Items!$A$5:$A$19,0)),"Unknown code"))</f>
        <v/>
      </c>
      <c r="D68" s="29"/>
      <c r="E68" s="18" t="str">
        <f>IF(B68="","",IFERROR(INDEX(Items!$C$5:$C$19,MATCH(B68,Items!$A$5:$A$19,0)),""))</f>
        <v/>
      </c>
      <c r="F68" s="18" t="str">
        <f t="shared" si="0"/>
        <v/>
      </c>
      <c r="G68" s="27"/>
      <c r="H68" s="23" t="str">
        <f>IF(OR(A68="",B68="",D68=""),"",IFERROR(INDEX(Items!$D$5:$D$19,MATCH(B68,Items!$A$5:$A$19,0))+SUMIFS(D$4:D67,B$4:B67,B68),""))</f>
        <v/>
      </c>
      <c r="I68" s="23" t="str">
        <f t="shared" si="1"/>
        <v/>
      </c>
      <c r="J68" s="23" t="str">
        <f t="shared" si="2"/>
        <v/>
      </c>
      <c r="K68" s="18" t="str">
        <f t="shared" si="3"/>
        <v/>
      </c>
      <c r="L68" s="16" t="str">
        <f t="shared" ca="1" si="4"/>
        <v/>
      </c>
      <c r="M68" s="25" t="str">
        <f>IF(H68="","",IF(I68&lt;=0,"Shipped",IF(L68&lt;=AGE30,"Fresh",IF(L68&lt;=AGE60,"Watch",IF(L68&lt;=AGE90,"Aging","Old")))))</f>
        <v/>
      </c>
      <c r="N68" s="16" t="str">
        <f t="shared" si="5"/>
        <v/>
      </c>
    </row>
    <row r="69" spans="1:14" x14ac:dyDescent="0.2">
      <c r="A69" s="32"/>
      <c r="B69" s="27"/>
      <c r="C69" s="15" t="str">
        <f>IF(B69="","",IFERROR(INDEX(Items!$B$5:$B$19,MATCH(B69,Items!$A$5:$A$19,0)),"Unknown code"))</f>
        <v/>
      </c>
      <c r="D69" s="29"/>
      <c r="E69" s="18" t="str">
        <f>IF(B69="","",IFERROR(INDEX(Items!$C$5:$C$19,MATCH(B69,Items!$A$5:$A$19,0)),""))</f>
        <v/>
      </c>
      <c r="F69" s="18" t="str">
        <f t="shared" ref="F69:F132" si="6">IF(OR(D69="",E69=""),"",D69*E69)</f>
        <v/>
      </c>
      <c r="G69" s="27"/>
      <c r="H69" s="23" t="str">
        <f>IF(OR(A69="",B69="",D69=""),"",IFERROR(INDEX(Items!$D$5:$D$19,MATCH(B69,Items!$A$5:$A$19,0))+SUMIFS(D$4:D68,B$4:B68,B69),""))</f>
        <v/>
      </c>
      <c r="I69" s="23" t="str">
        <f t="shared" ref="I69:I132" si="7">IF(H69="","",MAX(0,MIN(D69,H69+D69-TotalShipped)))</f>
        <v/>
      </c>
      <c r="J69" s="23" t="str">
        <f t="shared" ref="J69:J132" si="8">IF(H69="","",D69-I69)</f>
        <v/>
      </c>
      <c r="K69" s="18" t="str">
        <f t="shared" ref="K69:K132" si="9">IF(OR(H69="",E69=""),"",I69*E69)</f>
        <v/>
      </c>
      <c r="L69" s="16" t="str">
        <f t="shared" ref="L69:L132" ca="1" si="10">IF(H69="","",IF(I69&gt;0,TODAY()-A69,""))</f>
        <v/>
      </c>
      <c r="M69" s="25" t="str">
        <f>IF(H69="","",IF(I69&lt;=0,"Shipped",IF(L69&lt;=AGE30,"Fresh",IF(L69&lt;=AGE60,"Watch",IF(L69&lt;=AGE90,"Aging","Old")))))</f>
        <v/>
      </c>
      <c r="N69" s="16" t="str">
        <f t="shared" ref="N69:N132" si="11">IF(H69="","",J69*A69)</f>
        <v/>
      </c>
    </row>
    <row r="70" spans="1:14" x14ac:dyDescent="0.2">
      <c r="A70" s="32"/>
      <c r="B70" s="27"/>
      <c r="C70" s="15" t="str">
        <f>IF(B70="","",IFERROR(INDEX(Items!$B$5:$B$19,MATCH(B70,Items!$A$5:$A$19,0)),"Unknown code"))</f>
        <v/>
      </c>
      <c r="D70" s="29"/>
      <c r="E70" s="18" t="str">
        <f>IF(B70="","",IFERROR(INDEX(Items!$C$5:$C$19,MATCH(B70,Items!$A$5:$A$19,0)),""))</f>
        <v/>
      </c>
      <c r="F70" s="18" t="str">
        <f t="shared" si="6"/>
        <v/>
      </c>
      <c r="G70" s="27"/>
      <c r="H70" s="23" t="str">
        <f>IF(OR(A70="",B70="",D70=""),"",IFERROR(INDEX(Items!$D$5:$D$19,MATCH(B70,Items!$A$5:$A$19,0))+SUMIFS(D$4:D69,B$4:B69,B70),""))</f>
        <v/>
      </c>
      <c r="I70" s="23" t="str">
        <f t="shared" si="7"/>
        <v/>
      </c>
      <c r="J70" s="23" t="str">
        <f t="shared" si="8"/>
        <v/>
      </c>
      <c r="K70" s="18" t="str">
        <f t="shared" si="9"/>
        <v/>
      </c>
      <c r="L70" s="16" t="str">
        <f t="shared" ca="1" si="10"/>
        <v/>
      </c>
      <c r="M70" s="25" t="str">
        <f>IF(H70="","",IF(I70&lt;=0,"Shipped",IF(L70&lt;=AGE30,"Fresh",IF(L70&lt;=AGE60,"Watch",IF(L70&lt;=AGE90,"Aging","Old")))))</f>
        <v/>
      </c>
      <c r="N70" s="16" t="str">
        <f t="shared" si="11"/>
        <v/>
      </c>
    </row>
    <row r="71" spans="1:14" x14ac:dyDescent="0.2">
      <c r="A71" s="32"/>
      <c r="B71" s="27"/>
      <c r="C71" s="15" t="str">
        <f>IF(B71="","",IFERROR(INDEX(Items!$B$5:$B$19,MATCH(B71,Items!$A$5:$A$19,0)),"Unknown code"))</f>
        <v/>
      </c>
      <c r="D71" s="29"/>
      <c r="E71" s="18" t="str">
        <f>IF(B71="","",IFERROR(INDEX(Items!$C$5:$C$19,MATCH(B71,Items!$A$5:$A$19,0)),""))</f>
        <v/>
      </c>
      <c r="F71" s="18" t="str">
        <f t="shared" si="6"/>
        <v/>
      </c>
      <c r="G71" s="27"/>
      <c r="H71" s="23" t="str">
        <f>IF(OR(A71="",B71="",D71=""),"",IFERROR(INDEX(Items!$D$5:$D$19,MATCH(B71,Items!$A$5:$A$19,0))+SUMIFS(D$4:D70,B$4:B70,B71),""))</f>
        <v/>
      </c>
      <c r="I71" s="23" t="str">
        <f t="shared" si="7"/>
        <v/>
      </c>
      <c r="J71" s="23" t="str">
        <f t="shared" si="8"/>
        <v/>
      </c>
      <c r="K71" s="18" t="str">
        <f t="shared" si="9"/>
        <v/>
      </c>
      <c r="L71" s="16" t="str">
        <f t="shared" ca="1" si="10"/>
        <v/>
      </c>
      <c r="M71" s="25" t="str">
        <f>IF(H71="","",IF(I71&lt;=0,"Shipped",IF(L71&lt;=AGE30,"Fresh",IF(L71&lt;=AGE60,"Watch",IF(L71&lt;=AGE90,"Aging","Old")))))</f>
        <v/>
      </c>
      <c r="N71" s="16" t="str">
        <f t="shared" si="11"/>
        <v/>
      </c>
    </row>
    <row r="72" spans="1:14" x14ac:dyDescent="0.2">
      <c r="A72" s="32"/>
      <c r="B72" s="27"/>
      <c r="C72" s="15" t="str">
        <f>IF(B72="","",IFERROR(INDEX(Items!$B$5:$B$19,MATCH(B72,Items!$A$5:$A$19,0)),"Unknown code"))</f>
        <v/>
      </c>
      <c r="D72" s="29"/>
      <c r="E72" s="18" t="str">
        <f>IF(B72="","",IFERROR(INDEX(Items!$C$5:$C$19,MATCH(B72,Items!$A$5:$A$19,0)),""))</f>
        <v/>
      </c>
      <c r="F72" s="18" t="str">
        <f t="shared" si="6"/>
        <v/>
      </c>
      <c r="G72" s="27"/>
      <c r="H72" s="23" t="str">
        <f>IF(OR(A72="",B72="",D72=""),"",IFERROR(INDEX(Items!$D$5:$D$19,MATCH(B72,Items!$A$5:$A$19,0))+SUMIFS(D$4:D71,B$4:B71,B72),""))</f>
        <v/>
      </c>
      <c r="I72" s="23" t="str">
        <f t="shared" si="7"/>
        <v/>
      </c>
      <c r="J72" s="23" t="str">
        <f t="shared" si="8"/>
        <v/>
      </c>
      <c r="K72" s="18" t="str">
        <f t="shared" si="9"/>
        <v/>
      </c>
      <c r="L72" s="16" t="str">
        <f t="shared" ca="1" si="10"/>
        <v/>
      </c>
      <c r="M72" s="25" t="str">
        <f>IF(H72="","",IF(I72&lt;=0,"Shipped",IF(L72&lt;=AGE30,"Fresh",IF(L72&lt;=AGE60,"Watch",IF(L72&lt;=AGE90,"Aging","Old")))))</f>
        <v/>
      </c>
      <c r="N72" s="16" t="str">
        <f t="shared" si="11"/>
        <v/>
      </c>
    </row>
    <row r="73" spans="1:14" x14ac:dyDescent="0.2">
      <c r="A73" s="32"/>
      <c r="B73" s="27"/>
      <c r="C73" s="15" t="str">
        <f>IF(B73="","",IFERROR(INDEX(Items!$B$5:$B$19,MATCH(B73,Items!$A$5:$A$19,0)),"Unknown code"))</f>
        <v/>
      </c>
      <c r="D73" s="29"/>
      <c r="E73" s="18" t="str">
        <f>IF(B73="","",IFERROR(INDEX(Items!$C$5:$C$19,MATCH(B73,Items!$A$5:$A$19,0)),""))</f>
        <v/>
      </c>
      <c r="F73" s="18" t="str">
        <f t="shared" si="6"/>
        <v/>
      </c>
      <c r="G73" s="27"/>
      <c r="H73" s="23" t="str">
        <f>IF(OR(A73="",B73="",D73=""),"",IFERROR(INDEX(Items!$D$5:$D$19,MATCH(B73,Items!$A$5:$A$19,0))+SUMIFS(D$4:D72,B$4:B72,B73),""))</f>
        <v/>
      </c>
      <c r="I73" s="23" t="str">
        <f t="shared" si="7"/>
        <v/>
      </c>
      <c r="J73" s="23" t="str">
        <f t="shared" si="8"/>
        <v/>
      </c>
      <c r="K73" s="18" t="str">
        <f t="shared" si="9"/>
        <v/>
      </c>
      <c r="L73" s="16" t="str">
        <f t="shared" ca="1" si="10"/>
        <v/>
      </c>
      <c r="M73" s="25" t="str">
        <f>IF(H73="","",IF(I73&lt;=0,"Shipped",IF(L73&lt;=AGE30,"Fresh",IF(L73&lt;=AGE60,"Watch",IF(L73&lt;=AGE90,"Aging","Old")))))</f>
        <v/>
      </c>
      <c r="N73" s="16" t="str">
        <f t="shared" si="11"/>
        <v/>
      </c>
    </row>
    <row r="74" spans="1:14" x14ac:dyDescent="0.2">
      <c r="A74" s="32"/>
      <c r="B74" s="27"/>
      <c r="C74" s="15" t="str">
        <f>IF(B74="","",IFERROR(INDEX(Items!$B$5:$B$19,MATCH(B74,Items!$A$5:$A$19,0)),"Unknown code"))</f>
        <v/>
      </c>
      <c r="D74" s="29"/>
      <c r="E74" s="18" t="str">
        <f>IF(B74="","",IFERROR(INDEX(Items!$C$5:$C$19,MATCH(B74,Items!$A$5:$A$19,0)),""))</f>
        <v/>
      </c>
      <c r="F74" s="18" t="str">
        <f t="shared" si="6"/>
        <v/>
      </c>
      <c r="G74" s="27"/>
      <c r="H74" s="23" t="str">
        <f>IF(OR(A74="",B74="",D74=""),"",IFERROR(INDEX(Items!$D$5:$D$19,MATCH(B74,Items!$A$5:$A$19,0))+SUMIFS(D$4:D73,B$4:B73,B74),""))</f>
        <v/>
      </c>
      <c r="I74" s="23" t="str">
        <f t="shared" si="7"/>
        <v/>
      </c>
      <c r="J74" s="23" t="str">
        <f t="shared" si="8"/>
        <v/>
      </c>
      <c r="K74" s="18" t="str">
        <f t="shared" si="9"/>
        <v/>
      </c>
      <c r="L74" s="16" t="str">
        <f t="shared" ca="1" si="10"/>
        <v/>
      </c>
      <c r="M74" s="25" t="str">
        <f>IF(H74="","",IF(I74&lt;=0,"Shipped",IF(L74&lt;=AGE30,"Fresh",IF(L74&lt;=AGE60,"Watch",IF(L74&lt;=AGE90,"Aging","Old")))))</f>
        <v/>
      </c>
      <c r="N74" s="16" t="str">
        <f t="shared" si="11"/>
        <v/>
      </c>
    </row>
    <row r="75" spans="1:14" x14ac:dyDescent="0.2">
      <c r="A75" s="32"/>
      <c r="B75" s="27"/>
      <c r="C75" s="15" t="str">
        <f>IF(B75="","",IFERROR(INDEX(Items!$B$5:$B$19,MATCH(B75,Items!$A$5:$A$19,0)),"Unknown code"))</f>
        <v/>
      </c>
      <c r="D75" s="29"/>
      <c r="E75" s="18" t="str">
        <f>IF(B75="","",IFERROR(INDEX(Items!$C$5:$C$19,MATCH(B75,Items!$A$5:$A$19,0)),""))</f>
        <v/>
      </c>
      <c r="F75" s="18" t="str">
        <f t="shared" si="6"/>
        <v/>
      </c>
      <c r="G75" s="27"/>
      <c r="H75" s="23" t="str">
        <f>IF(OR(A75="",B75="",D75=""),"",IFERROR(INDEX(Items!$D$5:$D$19,MATCH(B75,Items!$A$5:$A$19,0))+SUMIFS(D$4:D74,B$4:B74,B75),""))</f>
        <v/>
      </c>
      <c r="I75" s="23" t="str">
        <f t="shared" si="7"/>
        <v/>
      </c>
      <c r="J75" s="23" t="str">
        <f t="shared" si="8"/>
        <v/>
      </c>
      <c r="K75" s="18" t="str">
        <f t="shared" si="9"/>
        <v/>
      </c>
      <c r="L75" s="16" t="str">
        <f t="shared" ca="1" si="10"/>
        <v/>
      </c>
      <c r="M75" s="25" t="str">
        <f>IF(H75="","",IF(I75&lt;=0,"Shipped",IF(L75&lt;=AGE30,"Fresh",IF(L75&lt;=AGE60,"Watch",IF(L75&lt;=AGE90,"Aging","Old")))))</f>
        <v/>
      </c>
      <c r="N75" s="16" t="str">
        <f t="shared" si="11"/>
        <v/>
      </c>
    </row>
    <row r="76" spans="1:14" x14ac:dyDescent="0.2">
      <c r="A76" s="32"/>
      <c r="B76" s="27"/>
      <c r="C76" s="15" t="str">
        <f>IF(B76="","",IFERROR(INDEX(Items!$B$5:$B$19,MATCH(B76,Items!$A$5:$A$19,0)),"Unknown code"))</f>
        <v/>
      </c>
      <c r="D76" s="29"/>
      <c r="E76" s="18" t="str">
        <f>IF(B76="","",IFERROR(INDEX(Items!$C$5:$C$19,MATCH(B76,Items!$A$5:$A$19,0)),""))</f>
        <v/>
      </c>
      <c r="F76" s="18" t="str">
        <f t="shared" si="6"/>
        <v/>
      </c>
      <c r="G76" s="27"/>
      <c r="H76" s="23" t="str">
        <f>IF(OR(A76="",B76="",D76=""),"",IFERROR(INDEX(Items!$D$5:$D$19,MATCH(B76,Items!$A$5:$A$19,0))+SUMIFS(D$4:D75,B$4:B75,B76),""))</f>
        <v/>
      </c>
      <c r="I76" s="23" t="str">
        <f t="shared" si="7"/>
        <v/>
      </c>
      <c r="J76" s="23" t="str">
        <f t="shared" si="8"/>
        <v/>
      </c>
      <c r="K76" s="18" t="str">
        <f t="shared" si="9"/>
        <v/>
      </c>
      <c r="L76" s="16" t="str">
        <f t="shared" ca="1" si="10"/>
        <v/>
      </c>
      <c r="M76" s="25" t="str">
        <f>IF(H76="","",IF(I76&lt;=0,"Shipped",IF(L76&lt;=AGE30,"Fresh",IF(L76&lt;=AGE60,"Watch",IF(L76&lt;=AGE90,"Aging","Old")))))</f>
        <v/>
      </c>
      <c r="N76" s="16" t="str">
        <f t="shared" si="11"/>
        <v/>
      </c>
    </row>
    <row r="77" spans="1:14" x14ac:dyDescent="0.2">
      <c r="A77" s="32"/>
      <c r="B77" s="27"/>
      <c r="C77" s="15" t="str">
        <f>IF(B77="","",IFERROR(INDEX(Items!$B$5:$B$19,MATCH(B77,Items!$A$5:$A$19,0)),"Unknown code"))</f>
        <v/>
      </c>
      <c r="D77" s="29"/>
      <c r="E77" s="18" t="str">
        <f>IF(B77="","",IFERROR(INDEX(Items!$C$5:$C$19,MATCH(B77,Items!$A$5:$A$19,0)),""))</f>
        <v/>
      </c>
      <c r="F77" s="18" t="str">
        <f t="shared" si="6"/>
        <v/>
      </c>
      <c r="G77" s="27"/>
      <c r="H77" s="23" t="str">
        <f>IF(OR(A77="",B77="",D77=""),"",IFERROR(INDEX(Items!$D$5:$D$19,MATCH(B77,Items!$A$5:$A$19,0))+SUMIFS(D$4:D76,B$4:B76,B77),""))</f>
        <v/>
      </c>
      <c r="I77" s="23" t="str">
        <f t="shared" si="7"/>
        <v/>
      </c>
      <c r="J77" s="23" t="str">
        <f t="shared" si="8"/>
        <v/>
      </c>
      <c r="K77" s="18" t="str">
        <f t="shared" si="9"/>
        <v/>
      </c>
      <c r="L77" s="16" t="str">
        <f t="shared" ca="1" si="10"/>
        <v/>
      </c>
      <c r="M77" s="25" t="str">
        <f>IF(H77="","",IF(I77&lt;=0,"Shipped",IF(L77&lt;=AGE30,"Fresh",IF(L77&lt;=AGE60,"Watch",IF(L77&lt;=AGE90,"Aging","Old")))))</f>
        <v/>
      </c>
      <c r="N77" s="16" t="str">
        <f t="shared" si="11"/>
        <v/>
      </c>
    </row>
    <row r="78" spans="1:14" x14ac:dyDescent="0.2">
      <c r="A78" s="32"/>
      <c r="B78" s="27"/>
      <c r="C78" s="15" t="str">
        <f>IF(B78="","",IFERROR(INDEX(Items!$B$5:$B$19,MATCH(B78,Items!$A$5:$A$19,0)),"Unknown code"))</f>
        <v/>
      </c>
      <c r="D78" s="29"/>
      <c r="E78" s="18" t="str">
        <f>IF(B78="","",IFERROR(INDEX(Items!$C$5:$C$19,MATCH(B78,Items!$A$5:$A$19,0)),""))</f>
        <v/>
      </c>
      <c r="F78" s="18" t="str">
        <f t="shared" si="6"/>
        <v/>
      </c>
      <c r="G78" s="27"/>
      <c r="H78" s="23" t="str">
        <f>IF(OR(A78="",B78="",D78=""),"",IFERROR(INDEX(Items!$D$5:$D$19,MATCH(B78,Items!$A$5:$A$19,0))+SUMIFS(D$4:D77,B$4:B77,B78),""))</f>
        <v/>
      </c>
      <c r="I78" s="23" t="str">
        <f t="shared" si="7"/>
        <v/>
      </c>
      <c r="J78" s="23" t="str">
        <f t="shared" si="8"/>
        <v/>
      </c>
      <c r="K78" s="18" t="str">
        <f t="shared" si="9"/>
        <v/>
      </c>
      <c r="L78" s="16" t="str">
        <f t="shared" ca="1" si="10"/>
        <v/>
      </c>
      <c r="M78" s="25" t="str">
        <f>IF(H78="","",IF(I78&lt;=0,"Shipped",IF(L78&lt;=AGE30,"Fresh",IF(L78&lt;=AGE60,"Watch",IF(L78&lt;=AGE90,"Aging","Old")))))</f>
        <v/>
      </c>
      <c r="N78" s="16" t="str">
        <f t="shared" si="11"/>
        <v/>
      </c>
    </row>
    <row r="79" spans="1:14" x14ac:dyDescent="0.2">
      <c r="A79" s="32"/>
      <c r="B79" s="27"/>
      <c r="C79" s="15" t="str">
        <f>IF(B79="","",IFERROR(INDEX(Items!$B$5:$B$19,MATCH(B79,Items!$A$5:$A$19,0)),"Unknown code"))</f>
        <v/>
      </c>
      <c r="D79" s="29"/>
      <c r="E79" s="18" t="str">
        <f>IF(B79="","",IFERROR(INDEX(Items!$C$5:$C$19,MATCH(B79,Items!$A$5:$A$19,0)),""))</f>
        <v/>
      </c>
      <c r="F79" s="18" t="str">
        <f t="shared" si="6"/>
        <v/>
      </c>
      <c r="G79" s="27"/>
      <c r="H79" s="23" t="str">
        <f>IF(OR(A79="",B79="",D79=""),"",IFERROR(INDEX(Items!$D$5:$D$19,MATCH(B79,Items!$A$5:$A$19,0))+SUMIFS(D$4:D78,B$4:B78,B79),""))</f>
        <v/>
      </c>
      <c r="I79" s="23" t="str">
        <f t="shared" si="7"/>
        <v/>
      </c>
      <c r="J79" s="23" t="str">
        <f t="shared" si="8"/>
        <v/>
      </c>
      <c r="K79" s="18" t="str">
        <f t="shared" si="9"/>
        <v/>
      </c>
      <c r="L79" s="16" t="str">
        <f t="shared" ca="1" si="10"/>
        <v/>
      </c>
      <c r="M79" s="25" t="str">
        <f>IF(H79="","",IF(I79&lt;=0,"Shipped",IF(L79&lt;=AGE30,"Fresh",IF(L79&lt;=AGE60,"Watch",IF(L79&lt;=AGE90,"Aging","Old")))))</f>
        <v/>
      </c>
      <c r="N79" s="16" t="str">
        <f t="shared" si="11"/>
        <v/>
      </c>
    </row>
    <row r="80" spans="1:14" x14ac:dyDescent="0.2">
      <c r="A80" s="32"/>
      <c r="B80" s="27"/>
      <c r="C80" s="15" t="str">
        <f>IF(B80="","",IFERROR(INDEX(Items!$B$5:$B$19,MATCH(B80,Items!$A$5:$A$19,0)),"Unknown code"))</f>
        <v/>
      </c>
      <c r="D80" s="29"/>
      <c r="E80" s="18" t="str">
        <f>IF(B80="","",IFERROR(INDEX(Items!$C$5:$C$19,MATCH(B80,Items!$A$5:$A$19,0)),""))</f>
        <v/>
      </c>
      <c r="F80" s="18" t="str">
        <f t="shared" si="6"/>
        <v/>
      </c>
      <c r="G80" s="27"/>
      <c r="H80" s="23" t="str">
        <f>IF(OR(A80="",B80="",D80=""),"",IFERROR(INDEX(Items!$D$5:$D$19,MATCH(B80,Items!$A$5:$A$19,0))+SUMIFS(D$4:D79,B$4:B79,B80),""))</f>
        <v/>
      </c>
      <c r="I80" s="23" t="str">
        <f t="shared" si="7"/>
        <v/>
      </c>
      <c r="J80" s="23" t="str">
        <f t="shared" si="8"/>
        <v/>
      </c>
      <c r="K80" s="18" t="str">
        <f t="shared" si="9"/>
        <v/>
      </c>
      <c r="L80" s="16" t="str">
        <f t="shared" ca="1" si="10"/>
        <v/>
      </c>
      <c r="M80" s="25" t="str">
        <f>IF(H80="","",IF(I80&lt;=0,"Shipped",IF(L80&lt;=AGE30,"Fresh",IF(L80&lt;=AGE60,"Watch",IF(L80&lt;=AGE90,"Aging","Old")))))</f>
        <v/>
      </c>
      <c r="N80" s="16" t="str">
        <f t="shared" si="11"/>
        <v/>
      </c>
    </row>
    <row r="81" spans="1:14" x14ac:dyDescent="0.2">
      <c r="A81" s="32"/>
      <c r="B81" s="27"/>
      <c r="C81" s="15" t="str">
        <f>IF(B81="","",IFERROR(INDEX(Items!$B$5:$B$19,MATCH(B81,Items!$A$5:$A$19,0)),"Unknown code"))</f>
        <v/>
      </c>
      <c r="D81" s="29"/>
      <c r="E81" s="18" t="str">
        <f>IF(B81="","",IFERROR(INDEX(Items!$C$5:$C$19,MATCH(B81,Items!$A$5:$A$19,0)),""))</f>
        <v/>
      </c>
      <c r="F81" s="18" t="str">
        <f t="shared" si="6"/>
        <v/>
      </c>
      <c r="G81" s="27"/>
      <c r="H81" s="23" t="str">
        <f>IF(OR(A81="",B81="",D81=""),"",IFERROR(INDEX(Items!$D$5:$D$19,MATCH(B81,Items!$A$5:$A$19,0))+SUMIFS(D$4:D80,B$4:B80,B81),""))</f>
        <v/>
      </c>
      <c r="I81" s="23" t="str">
        <f t="shared" si="7"/>
        <v/>
      </c>
      <c r="J81" s="23" t="str">
        <f t="shared" si="8"/>
        <v/>
      </c>
      <c r="K81" s="18" t="str">
        <f t="shared" si="9"/>
        <v/>
      </c>
      <c r="L81" s="16" t="str">
        <f t="shared" ca="1" si="10"/>
        <v/>
      </c>
      <c r="M81" s="25" t="str">
        <f>IF(H81="","",IF(I81&lt;=0,"Shipped",IF(L81&lt;=AGE30,"Fresh",IF(L81&lt;=AGE60,"Watch",IF(L81&lt;=AGE90,"Aging","Old")))))</f>
        <v/>
      </c>
      <c r="N81" s="16" t="str">
        <f t="shared" si="11"/>
        <v/>
      </c>
    </row>
    <row r="82" spans="1:14" x14ac:dyDescent="0.2">
      <c r="A82" s="32"/>
      <c r="B82" s="27"/>
      <c r="C82" s="15" t="str">
        <f>IF(B82="","",IFERROR(INDEX(Items!$B$5:$B$19,MATCH(B82,Items!$A$5:$A$19,0)),"Unknown code"))</f>
        <v/>
      </c>
      <c r="D82" s="29"/>
      <c r="E82" s="18" t="str">
        <f>IF(B82="","",IFERROR(INDEX(Items!$C$5:$C$19,MATCH(B82,Items!$A$5:$A$19,0)),""))</f>
        <v/>
      </c>
      <c r="F82" s="18" t="str">
        <f t="shared" si="6"/>
        <v/>
      </c>
      <c r="G82" s="27"/>
      <c r="H82" s="23" t="str">
        <f>IF(OR(A82="",B82="",D82=""),"",IFERROR(INDEX(Items!$D$5:$D$19,MATCH(B82,Items!$A$5:$A$19,0))+SUMIFS(D$4:D81,B$4:B81,B82),""))</f>
        <v/>
      </c>
      <c r="I82" s="23" t="str">
        <f t="shared" si="7"/>
        <v/>
      </c>
      <c r="J82" s="23" t="str">
        <f t="shared" si="8"/>
        <v/>
      </c>
      <c r="K82" s="18" t="str">
        <f t="shared" si="9"/>
        <v/>
      </c>
      <c r="L82" s="16" t="str">
        <f t="shared" ca="1" si="10"/>
        <v/>
      </c>
      <c r="M82" s="25" t="str">
        <f>IF(H82="","",IF(I82&lt;=0,"Shipped",IF(L82&lt;=AGE30,"Fresh",IF(L82&lt;=AGE60,"Watch",IF(L82&lt;=AGE90,"Aging","Old")))))</f>
        <v/>
      </c>
      <c r="N82" s="16" t="str">
        <f t="shared" si="11"/>
        <v/>
      </c>
    </row>
    <row r="83" spans="1:14" x14ac:dyDescent="0.2">
      <c r="A83" s="32"/>
      <c r="B83" s="27"/>
      <c r="C83" s="15" t="str">
        <f>IF(B83="","",IFERROR(INDEX(Items!$B$5:$B$19,MATCH(B83,Items!$A$5:$A$19,0)),"Unknown code"))</f>
        <v/>
      </c>
      <c r="D83" s="29"/>
      <c r="E83" s="18" t="str">
        <f>IF(B83="","",IFERROR(INDEX(Items!$C$5:$C$19,MATCH(B83,Items!$A$5:$A$19,0)),""))</f>
        <v/>
      </c>
      <c r="F83" s="18" t="str">
        <f t="shared" si="6"/>
        <v/>
      </c>
      <c r="G83" s="27"/>
      <c r="H83" s="23" t="str">
        <f>IF(OR(A83="",B83="",D83=""),"",IFERROR(INDEX(Items!$D$5:$D$19,MATCH(B83,Items!$A$5:$A$19,0))+SUMIFS(D$4:D82,B$4:B82,B83),""))</f>
        <v/>
      </c>
      <c r="I83" s="23" t="str">
        <f t="shared" si="7"/>
        <v/>
      </c>
      <c r="J83" s="23" t="str">
        <f t="shared" si="8"/>
        <v/>
      </c>
      <c r="K83" s="18" t="str">
        <f t="shared" si="9"/>
        <v/>
      </c>
      <c r="L83" s="16" t="str">
        <f t="shared" ca="1" si="10"/>
        <v/>
      </c>
      <c r="M83" s="25" t="str">
        <f>IF(H83="","",IF(I83&lt;=0,"Shipped",IF(L83&lt;=AGE30,"Fresh",IF(L83&lt;=AGE60,"Watch",IF(L83&lt;=AGE90,"Aging","Old")))))</f>
        <v/>
      </c>
      <c r="N83" s="16" t="str">
        <f t="shared" si="11"/>
        <v/>
      </c>
    </row>
    <row r="84" spans="1:14" x14ac:dyDescent="0.2">
      <c r="A84" s="32"/>
      <c r="B84" s="27"/>
      <c r="C84" s="15" t="str">
        <f>IF(B84="","",IFERROR(INDEX(Items!$B$5:$B$19,MATCH(B84,Items!$A$5:$A$19,0)),"Unknown code"))</f>
        <v/>
      </c>
      <c r="D84" s="29"/>
      <c r="E84" s="18" t="str">
        <f>IF(B84="","",IFERROR(INDEX(Items!$C$5:$C$19,MATCH(B84,Items!$A$5:$A$19,0)),""))</f>
        <v/>
      </c>
      <c r="F84" s="18" t="str">
        <f t="shared" si="6"/>
        <v/>
      </c>
      <c r="G84" s="27"/>
      <c r="H84" s="23" t="str">
        <f>IF(OR(A84="",B84="",D84=""),"",IFERROR(INDEX(Items!$D$5:$D$19,MATCH(B84,Items!$A$5:$A$19,0))+SUMIFS(D$4:D83,B$4:B83,B84),""))</f>
        <v/>
      </c>
      <c r="I84" s="23" t="str">
        <f t="shared" si="7"/>
        <v/>
      </c>
      <c r="J84" s="23" t="str">
        <f t="shared" si="8"/>
        <v/>
      </c>
      <c r="K84" s="18" t="str">
        <f t="shared" si="9"/>
        <v/>
      </c>
      <c r="L84" s="16" t="str">
        <f t="shared" ca="1" si="10"/>
        <v/>
      </c>
      <c r="M84" s="25" t="str">
        <f>IF(H84="","",IF(I84&lt;=0,"Shipped",IF(L84&lt;=AGE30,"Fresh",IF(L84&lt;=AGE60,"Watch",IF(L84&lt;=AGE90,"Aging","Old")))))</f>
        <v/>
      </c>
      <c r="N84" s="16" t="str">
        <f t="shared" si="11"/>
        <v/>
      </c>
    </row>
    <row r="85" spans="1:14" x14ac:dyDescent="0.2">
      <c r="A85" s="32"/>
      <c r="B85" s="27"/>
      <c r="C85" s="15" t="str">
        <f>IF(B85="","",IFERROR(INDEX(Items!$B$5:$B$19,MATCH(B85,Items!$A$5:$A$19,0)),"Unknown code"))</f>
        <v/>
      </c>
      <c r="D85" s="29"/>
      <c r="E85" s="18" t="str">
        <f>IF(B85="","",IFERROR(INDEX(Items!$C$5:$C$19,MATCH(B85,Items!$A$5:$A$19,0)),""))</f>
        <v/>
      </c>
      <c r="F85" s="18" t="str">
        <f t="shared" si="6"/>
        <v/>
      </c>
      <c r="G85" s="27"/>
      <c r="H85" s="23" t="str">
        <f>IF(OR(A85="",B85="",D85=""),"",IFERROR(INDEX(Items!$D$5:$D$19,MATCH(B85,Items!$A$5:$A$19,0))+SUMIFS(D$4:D84,B$4:B84,B85),""))</f>
        <v/>
      </c>
      <c r="I85" s="23" t="str">
        <f t="shared" si="7"/>
        <v/>
      </c>
      <c r="J85" s="23" t="str">
        <f t="shared" si="8"/>
        <v/>
      </c>
      <c r="K85" s="18" t="str">
        <f t="shared" si="9"/>
        <v/>
      </c>
      <c r="L85" s="16" t="str">
        <f t="shared" ca="1" si="10"/>
        <v/>
      </c>
      <c r="M85" s="25" t="str">
        <f>IF(H85="","",IF(I85&lt;=0,"Shipped",IF(L85&lt;=AGE30,"Fresh",IF(L85&lt;=AGE60,"Watch",IF(L85&lt;=AGE90,"Aging","Old")))))</f>
        <v/>
      </c>
      <c r="N85" s="16" t="str">
        <f t="shared" si="11"/>
        <v/>
      </c>
    </row>
    <row r="86" spans="1:14" x14ac:dyDescent="0.2">
      <c r="A86" s="32"/>
      <c r="B86" s="27"/>
      <c r="C86" s="15" t="str">
        <f>IF(B86="","",IFERROR(INDEX(Items!$B$5:$B$19,MATCH(B86,Items!$A$5:$A$19,0)),"Unknown code"))</f>
        <v/>
      </c>
      <c r="D86" s="29"/>
      <c r="E86" s="18" t="str">
        <f>IF(B86="","",IFERROR(INDEX(Items!$C$5:$C$19,MATCH(B86,Items!$A$5:$A$19,0)),""))</f>
        <v/>
      </c>
      <c r="F86" s="18" t="str">
        <f t="shared" si="6"/>
        <v/>
      </c>
      <c r="G86" s="27"/>
      <c r="H86" s="23" t="str">
        <f>IF(OR(A86="",B86="",D86=""),"",IFERROR(INDEX(Items!$D$5:$D$19,MATCH(B86,Items!$A$5:$A$19,0))+SUMIFS(D$4:D85,B$4:B85,B86),""))</f>
        <v/>
      </c>
      <c r="I86" s="23" t="str">
        <f t="shared" si="7"/>
        <v/>
      </c>
      <c r="J86" s="23" t="str">
        <f t="shared" si="8"/>
        <v/>
      </c>
      <c r="K86" s="18" t="str">
        <f t="shared" si="9"/>
        <v/>
      </c>
      <c r="L86" s="16" t="str">
        <f t="shared" ca="1" si="10"/>
        <v/>
      </c>
      <c r="M86" s="25" t="str">
        <f>IF(H86="","",IF(I86&lt;=0,"Shipped",IF(L86&lt;=AGE30,"Fresh",IF(L86&lt;=AGE60,"Watch",IF(L86&lt;=AGE90,"Aging","Old")))))</f>
        <v/>
      </c>
      <c r="N86" s="16" t="str">
        <f t="shared" si="11"/>
        <v/>
      </c>
    </row>
    <row r="87" spans="1:14" x14ac:dyDescent="0.2">
      <c r="A87" s="32"/>
      <c r="B87" s="27"/>
      <c r="C87" s="15" t="str">
        <f>IF(B87="","",IFERROR(INDEX(Items!$B$5:$B$19,MATCH(B87,Items!$A$5:$A$19,0)),"Unknown code"))</f>
        <v/>
      </c>
      <c r="D87" s="29"/>
      <c r="E87" s="18" t="str">
        <f>IF(B87="","",IFERROR(INDEX(Items!$C$5:$C$19,MATCH(B87,Items!$A$5:$A$19,0)),""))</f>
        <v/>
      </c>
      <c r="F87" s="18" t="str">
        <f t="shared" si="6"/>
        <v/>
      </c>
      <c r="G87" s="27"/>
      <c r="H87" s="23" t="str">
        <f>IF(OR(A87="",B87="",D87=""),"",IFERROR(INDEX(Items!$D$5:$D$19,MATCH(B87,Items!$A$5:$A$19,0))+SUMIFS(D$4:D86,B$4:B86,B87),""))</f>
        <v/>
      </c>
      <c r="I87" s="23" t="str">
        <f t="shared" si="7"/>
        <v/>
      </c>
      <c r="J87" s="23" t="str">
        <f t="shared" si="8"/>
        <v/>
      </c>
      <c r="K87" s="18" t="str">
        <f t="shared" si="9"/>
        <v/>
      </c>
      <c r="L87" s="16" t="str">
        <f t="shared" ca="1" si="10"/>
        <v/>
      </c>
      <c r="M87" s="25" t="str">
        <f>IF(H87="","",IF(I87&lt;=0,"Shipped",IF(L87&lt;=AGE30,"Fresh",IF(L87&lt;=AGE60,"Watch",IF(L87&lt;=AGE90,"Aging","Old")))))</f>
        <v/>
      </c>
      <c r="N87" s="16" t="str">
        <f t="shared" si="11"/>
        <v/>
      </c>
    </row>
    <row r="88" spans="1:14" x14ac:dyDescent="0.2">
      <c r="A88" s="32"/>
      <c r="B88" s="27"/>
      <c r="C88" s="15" t="str">
        <f>IF(B88="","",IFERROR(INDEX(Items!$B$5:$B$19,MATCH(B88,Items!$A$5:$A$19,0)),"Unknown code"))</f>
        <v/>
      </c>
      <c r="D88" s="29"/>
      <c r="E88" s="18" t="str">
        <f>IF(B88="","",IFERROR(INDEX(Items!$C$5:$C$19,MATCH(B88,Items!$A$5:$A$19,0)),""))</f>
        <v/>
      </c>
      <c r="F88" s="18" t="str">
        <f t="shared" si="6"/>
        <v/>
      </c>
      <c r="G88" s="27"/>
      <c r="H88" s="23" t="str">
        <f>IF(OR(A88="",B88="",D88=""),"",IFERROR(INDEX(Items!$D$5:$D$19,MATCH(B88,Items!$A$5:$A$19,0))+SUMIFS(D$4:D87,B$4:B87,B88),""))</f>
        <v/>
      </c>
      <c r="I88" s="23" t="str">
        <f t="shared" si="7"/>
        <v/>
      </c>
      <c r="J88" s="23" t="str">
        <f t="shared" si="8"/>
        <v/>
      </c>
      <c r="K88" s="18" t="str">
        <f t="shared" si="9"/>
        <v/>
      </c>
      <c r="L88" s="16" t="str">
        <f t="shared" ca="1" si="10"/>
        <v/>
      </c>
      <c r="M88" s="25" t="str">
        <f>IF(H88="","",IF(I88&lt;=0,"Shipped",IF(L88&lt;=AGE30,"Fresh",IF(L88&lt;=AGE60,"Watch",IF(L88&lt;=AGE90,"Aging","Old")))))</f>
        <v/>
      </c>
      <c r="N88" s="16" t="str">
        <f t="shared" si="11"/>
        <v/>
      </c>
    </row>
    <row r="89" spans="1:14" x14ac:dyDescent="0.2">
      <c r="A89" s="32"/>
      <c r="B89" s="27"/>
      <c r="C89" s="15" t="str">
        <f>IF(B89="","",IFERROR(INDEX(Items!$B$5:$B$19,MATCH(B89,Items!$A$5:$A$19,0)),"Unknown code"))</f>
        <v/>
      </c>
      <c r="D89" s="29"/>
      <c r="E89" s="18" t="str">
        <f>IF(B89="","",IFERROR(INDEX(Items!$C$5:$C$19,MATCH(B89,Items!$A$5:$A$19,0)),""))</f>
        <v/>
      </c>
      <c r="F89" s="18" t="str">
        <f t="shared" si="6"/>
        <v/>
      </c>
      <c r="G89" s="27"/>
      <c r="H89" s="23" t="str">
        <f>IF(OR(A89="",B89="",D89=""),"",IFERROR(INDEX(Items!$D$5:$D$19,MATCH(B89,Items!$A$5:$A$19,0))+SUMIFS(D$4:D88,B$4:B88,B89),""))</f>
        <v/>
      </c>
      <c r="I89" s="23" t="str">
        <f t="shared" si="7"/>
        <v/>
      </c>
      <c r="J89" s="23" t="str">
        <f t="shared" si="8"/>
        <v/>
      </c>
      <c r="K89" s="18" t="str">
        <f t="shared" si="9"/>
        <v/>
      </c>
      <c r="L89" s="16" t="str">
        <f t="shared" ca="1" si="10"/>
        <v/>
      </c>
      <c r="M89" s="25" t="str">
        <f>IF(H89="","",IF(I89&lt;=0,"Shipped",IF(L89&lt;=AGE30,"Fresh",IF(L89&lt;=AGE60,"Watch",IF(L89&lt;=AGE90,"Aging","Old")))))</f>
        <v/>
      </c>
      <c r="N89" s="16" t="str">
        <f t="shared" si="11"/>
        <v/>
      </c>
    </row>
    <row r="90" spans="1:14" x14ac:dyDescent="0.2">
      <c r="A90" s="32"/>
      <c r="B90" s="27"/>
      <c r="C90" s="15" t="str">
        <f>IF(B90="","",IFERROR(INDEX(Items!$B$5:$B$19,MATCH(B90,Items!$A$5:$A$19,0)),"Unknown code"))</f>
        <v/>
      </c>
      <c r="D90" s="29"/>
      <c r="E90" s="18" t="str">
        <f>IF(B90="","",IFERROR(INDEX(Items!$C$5:$C$19,MATCH(B90,Items!$A$5:$A$19,0)),""))</f>
        <v/>
      </c>
      <c r="F90" s="18" t="str">
        <f t="shared" si="6"/>
        <v/>
      </c>
      <c r="G90" s="27"/>
      <c r="H90" s="23" t="str">
        <f>IF(OR(A90="",B90="",D90=""),"",IFERROR(INDEX(Items!$D$5:$D$19,MATCH(B90,Items!$A$5:$A$19,0))+SUMIFS(D$4:D89,B$4:B89,B90),""))</f>
        <v/>
      </c>
      <c r="I90" s="23" t="str">
        <f t="shared" si="7"/>
        <v/>
      </c>
      <c r="J90" s="23" t="str">
        <f t="shared" si="8"/>
        <v/>
      </c>
      <c r="K90" s="18" t="str">
        <f t="shared" si="9"/>
        <v/>
      </c>
      <c r="L90" s="16" t="str">
        <f t="shared" ca="1" si="10"/>
        <v/>
      </c>
      <c r="M90" s="25" t="str">
        <f>IF(H90="","",IF(I90&lt;=0,"Shipped",IF(L90&lt;=AGE30,"Fresh",IF(L90&lt;=AGE60,"Watch",IF(L90&lt;=AGE90,"Aging","Old")))))</f>
        <v/>
      </c>
      <c r="N90" s="16" t="str">
        <f t="shared" si="11"/>
        <v/>
      </c>
    </row>
    <row r="91" spans="1:14" x14ac:dyDescent="0.2">
      <c r="A91" s="32"/>
      <c r="B91" s="27"/>
      <c r="C91" s="15" t="str">
        <f>IF(B91="","",IFERROR(INDEX(Items!$B$5:$B$19,MATCH(B91,Items!$A$5:$A$19,0)),"Unknown code"))</f>
        <v/>
      </c>
      <c r="D91" s="29"/>
      <c r="E91" s="18" t="str">
        <f>IF(B91="","",IFERROR(INDEX(Items!$C$5:$C$19,MATCH(B91,Items!$A$5:$A$19,0)),""))</f>
        <v/>
      </c>
      <c r="F91" s="18" t="str">
        <f t="shared" si="6"/>
        <v/>
      </c>
      <c r="G91" s="27"/>
      <c r="H91" s="23" t="str">
        <f>IF(OR(A91="",B91="",D91=""),"",IFERROR(INDEX(Items!$D$5:$D$19,MATCH(B91,Items!$A$5:$A$19,0))+SUMIFS(D$4:D90,B$4:B90,B91),""))</f>
        <v/>
      </c>
      <c r="I91" s="23" t="str">
        <f t="shared" si="7"/>
        <v/>
      </c>
      <c r="J91" s="23" t="str">
        <f t="shared" si="8"/>
        <v/>
      </c>
      <c r="K91" s="18" t="str">
        <f t="shared" si="9"/>
        <v/>
      </c>
      <c r="L91" s="16" t="str">
        <f t="shared" ca="1" si="10"/>
        <v/>
      </c>
      <c r="M91" s="25" t="str">
        <f>IF(H91="","",IF(I91&lt;=0,"Shipped",IF(L91&lt;=AGE30,"Fresh",IF(L91&lt;=AGE60,"Watch",IF(L91&lt;=AGE90,"Aging","Old")))))</f>
        <v/>
      </c>
      <c r="N91" s="16" t="str">
        <f t="shared" si="11"/>
        <v/>
      </c>
    </row>
    <row r="92" spans="1:14" x14ac:dyDescent="0.2">
      <c r="A92" s="32"/>
      <c r="B92" s="27"/>
      <c r="C92" s="15" t="str">
        <f>IF(B92="","",IFERROR(INDEX(Items!$B$5:$B$19,MATCH(B92,Items!$A$5:$A$19,0)),"Unknown code"))</f>
        <v/>
      </c>
      <c r="D92" s="29"/>
      <c r="E92" s="18" t="str">
        <f>IF(B92="","",IFERROR(INDEX(Items!$C$5:$C$19,MATCH(B92,Items!$A$5:$A$19,0)),""))</f>
        <v/>
      </c>
      <c r="F92" s="18" t="str">
        <f t="shared" si="6"/>
        <v/>
      </c>
      <c r="G92" s="27"/>
      <c r="H92" s="23" t="str">
        <f>IF(OR(A92="",B92="",D92=""),"",IFERROR(INDEX(Items!$D$5:$D$19,MATCH(B92,Items!$A$5:$A$19,0))+SUMIFS(D$4:D91,B$4:B91,B92),""))</f>
        <v/>
      </c>
      <c r="I92" s="23" t="str">
        <f t="shared" si="7"/>
        <v/>
      </c>
      <c r="J92" s="23" t="str">
        <f t="shared" si="8"/>
        <v/>
      </c>
      <c r="K92" s="18" t="str">
        <f t="shared" si="9"/>
        <v/>
      </c>
      <c r="L92" s="16" t="str">
        <f t="shared" ca="1" si="10"/>
        <v/>
      </c>
      <c r="M92" s="25" t="str">
        <f>IF(H92="","",IF(I92&lt;=0,"Shipped",IF(L92&lt;=AGE30,"Fresh",IF(L92&lt;=AGE60,"Watch",IF(L92&lt;=AGE90,"Aging","Old")))))</f>
        <v/>
      </c>
      <c r="N92" s="16" t="str">
        <f t="shared" si="11"/>
        <v/>
      </c>
    </row>
    <row r="93" spans="1:14" x14ac:dyDescent="0.2">
      <c r="A93" s="32"/>
      <c r="B93" s="27"/>
      <c r="C93" s="15" t="str">
        <f>IF(B93="","",IFERROR(INDEX(Items!$B$5:$B$19,MATCH(B93,Items!$A$5:$A$19,0)),"Unknown code"))</f>
        <v/>
      </c>
      <c r="D93" s="29"/>
      <c r="E93" s="18" t="str">
        <f>IF(B93="","",IFERROR(INDEX(Items!$C$5:$C$19,MATCH(B93,Items!$A$5:$A$19,0)),""))</f>
        <v/>
      </c>
      <c r="F93" s="18" t="str">
        <f t="shared" si="6"/>
        <v/>
      </c>
      <c r="G93" s="27"/>
      <c r="H93" s="23" t="str">
        <f>IF(OR(A93="",B93="",D93=""),"",IFERROR(INDEX(Items!$D$5:$D$19,MATCH(B93,Items!$A$5:$A$19,0))+SUMIFS(D$4:D92,B$4:B92,B93),""))</f>
        <v/>
      </c>
      <c r="I93" s="23" t="str">
        <f t="shared" si="7"/>
        <v/>
      </c>
      <c r="J93" s="23" t="str">
        <f t="shared" si="8"/>
        <v/>
      </c>
      <c r="K93" s="18" t="str">
        <f t="shared" si="9"/>
        <v/>
      </c>
      <c r="L93" s="16" t="str">
        <f t="shared" ca="1" si="10"/>
        <v/>
      </c>
      <c r="M93" s="25" t="str">
        <f>IF(H93="","",IF(I93&lt;=0,"Shipped",IF(L93&lt;=AGE30,"Fresh",IF(L93&lt;=AGE60,"Watch",IF(L93&lt;=AGE90,"Aging","Old")))))</f>
        <v/>
      </c>
      <c r="N93" s="16" t="str">
        <f t="shared" si="11"/>
        <v/>
      </c>
    </row>
    <row r="94" spans="1:14" x14ac:dyDescent="0.2">
      <c r="A94" s="32"/>
      <c r="B94" s="27"/>
      <c r="C94" s="15" t="str">
        <f>IF(B94="","",IFERROR(INDEX(Items!$B$5:$B$19,MATCH(B94,Items!$A$5:$A$19,0)),"Unknown code"))</f>
        <v/>
      </c>
      <c r="D94" s="29"/>
      <c r="E94" s="18" t="str">
        <f>IF(B94="","",IFERROR(INDEX(Items!$C$5:$C$19,MATCH(B94,Items!$A$5:$A$19,0)),""))</f>
        <v/>
      </c>
      <c r="F94" s="18" t="str">
        <f t="shared" si="6"/>
        <v/>
      </c>
      <c r="G94" s="27"/>
      <c r="H94" s="23" t="str">
        <f>IF(OR(A94="",B94="",D94=""),"",IFERROR(INDEX(Items!$D$5:$D$19,MATCH(B94,Items!$A$5:$A$19,0))+SUMIFS(D$4:D93,B$4:B93,B94),""))</f>
        <v/>
      </c>
      <c r="I94" s="23" t="str">
        <f t="shared" si="7"/>
        <v/>
      </c>
      <c r="J94" s="23" t="str">
        <f t="shared" si="8"/>
        <v/>
      </c>
      <c r="K94" s="18" t="str">
        <f t="shared" si="9"/>
        <v/>
      </c>
      <c r="L94" s="16" t="str">
        <f t="shared" ca="1" si="10"/>
        <v/>
      </c>
      <c r="M94" s="25" t="str">
        <f>IF(H94="","",IF(I94&lt;=0,"Shipped",IF(L94&lt;=AGE30,"Fresh",IF(L94&lt;=AGE60,"Watch",IF(L94&lt;=AGE90,"Aging","Old")))))</f>
        <v/>
      </c>
      <c r="N94" s="16" t="str">
        <f t="shared" si="11"/>
        <v/>
      </c>
    </row>
    <row r="95" spans="1:14" x14ac:dyDescent="0.2">
      <c r="A95" s="32"/>
      <c r="B95" s="27"/>
      <c r="C95" s="15" t="str">
        <f>IF(B95="","",IFERROR(INDEX(Items!$B$5:$B$19,MATCH(B95,Items!$A$5:$A$19,0)),"Unknown code"))</f>
        <v/>
      </c>
      <c r="D95" s="29"/>
      <c r="E95" s="18" t="str">
        <f>IF(B95="","",IFERROR(INDEX(Items!$C$5:$C$19,MATCH(B95,Items!$A$5:$A$19,0)),""))</f>
        <v/>
      </c>
      <c r="F95" s="18" t="str">
        <f t="shared" si="6"/>
        <v/>
      </c>
      <c r="G95" s="27"/>
      <c r="H95" s="23" t="str">
        <f>IF(OR(A95="",B95="",D95=""),"",IFERROR(INDEX(Items!$D$5:$D$19,MATCH(B95,Items!$A$5:$A$19,0))+SUMIFS(D$4:D94,B$4:B94,B95),""))</f>
        <v/>
      </c>
      <c r="I95" s="23" t="str">
        <f t="shared" si="7"/>
        <v/>
      </c>
      <c r="J95" s="23" t="str">
        <f t="shared" si="8"/>
        <v/>
      </c>
      <c r="K95" s="18" t="str">
        <f t="shared" si="9"/>
        <v/>
      </c>
      <c r="L95" s="16" t="str">
        <f t="shared" ca="1" si="10"/>
        <v/>
      </c>
      <c r="M95" s="25" t="str">
        <f>IF(H95="","",IF(I95&lt;=0,"Shipped",IF(L95&lt;=AGE30,"Fresh",IF(L95&lt;=AGE60,"Watch",IF(L95&lt;=AGE90,"Aging","Old")))))</f>
        <v/>
      </c>
      <c r="N95" s="16" t="str">
        <f t="shared" si="11"/>
        <v/>
      </c>
    </row>
    <row r="96" spans="1:14" x14ac:dyDescent="0.2">
      <c r="A96" s="32"/>
      <c r="B96" s="27"/>
      <c r="C96" s="15" t="str">
        <f>IF(B96="","",IFERROR(INDEX(Items!$B$5:$B$19,MATCH(B96,Items!$A$5:$A$19,0)),"Unknown code"))</f>
        <v/>
      </c>
      <c r="D96" s="29"/>
      <c r="E96" s="18" t="str">
        <f>IF(B96="","",IFERROR(INDEX(Items!$C$5:$C$19,MATCH(B96,Items!$A$5:$A$19,0)),""))</f>
        <v/>
      </c>
      <c r="F96" s="18" t="str">
        <f t="shared" si="6"/>
        <v/>
      </c>
      <c r="G96" s="27"/>
      <c r="H96" s="23" t="str">
        <f>IF(OR(A96="",B96="",D96=""),"",IFERROR(INDEX(Items!$D$5:$D$19,MATCH(B96,Items!$A$5:$A$19,0))+SUMIFS(D$4:D95,B$4:B95,B96),""))</f>
        <v/>
      </c>
      <c r="I96" s="23" t="str">
        <f t="shared" si="7"/>
        <v/>
      </c>
      <c r="J96" s="23" t="str">
        <f t="shared" si="8"/>
        <v/>
      </c>
      <c r="K96" s="18" t="str">
        <f t="shared" si="9"/>
        <v/>
      </c>
      <c r="L96" s="16" t="str">
        <f t="shared" ca="1" si="10"/>
        <v/>
      </c>
      <c r="M96" s="25" t="str">
        <f>IF(H96="","",IF(I96&lt;=0,"Shipped",IF(L96&lt;=AGE30,"Fresh",IF(L96&lt;=AGE60,"Watch",IF(L96&lt;=AGE90,"Aging","Old")))))</f>
        <v/>
      </c>
      <c r="N96" s="16" t="str">
        <f t="shared" si="11"/>
        <v/>
      </c>
    </row>
    <row r="97" spans="1:14" x14ac:dyDescent="0.2">
      <c r="A97" s="32"/>
      <c r="B97" s="27"/>
      <c r="C97" s="15" t="str">
        <f>IF(B97="","",IFERROR(INDEX(Items!$B$5:$B$19,MATCH(B97,Items!$A$5:$A$19,0)),"Unknown code"))</f>
        <v/>
      </c>
      <c r="D97" s="29"/>
      <c r="E97" s="18" t="str">
        <f>IF(B97="","",IFERROR(INDEX(Items!$C$5:$C$19,MATCH(B97,Items!$A$5:$A$19,0)),""))</f>
        <v/>
      </c>
      <c r="F97" s="18" t="str">
        <f t="shared" si="6"/>
        <v/>
      </c>
      <c r="G97" s="27"/>
      <c r="H97" s="23" t="str">
        <f>IF(OR(A97="",B97="",D97=""),"",IFERROR(INDEX(Items!$D$5:$D$19,MATCH(B97,Items!$A$5:$A$19,0))+SUMIFS(D$4:D96,B$4:B96,B97),""))</f>
        <v/>
      </c>
      <c r="I97" s="23" t="str">
        <f t="shared" si="7"/>
        <v/>
      </c>
      <c r="J97" s="23" t="str">
        <f t="shared" si="8"/>
        <v/>
      </c>
      <c r="K97" s="18" t="str">
        <f t="shared" si="9"/>
        <v/>
      </c>
      <c r="L97" s="16" t="str">
        <f t="shared" ca="1" si="10"/>
        <v/>
      </c>
      <c r="M97" s="25" t="str">
        <f>IF(H97="","",IF(I97&lt;=0,"Shipped",IF(L97&lt;=AGE30,"Fresh",IF(L97&lt;=AGE60,"Watch",IF(L97&lt;=AGE90,"Aging","Old")))))</f>
        <v/>
      </c>
      <c r="N97" s="16" t="str">
        <f t="shared" si="11"/>
        <v/>
      </c>
    </row>
    <row r="98" spans="1:14" x14ac:dyDescent="0.2">
      <c r="A98" s="32"/>
      <c r="B98" s="27"/>
      <c r="C98" s="15" t="str">
        <f>IF(B98="","",IFERROR(INDEX(Items!$B$5:$B$19,MATCH(B98,Items!$A$5:$A$19,0)),"Unknown code"))</f>
        <v/>
      </c>
      <c r="D98" s="29"/>
      <c r="E98" s="18" t="str">
        <f>IF(B98="","",IFERROR(INDEX(Items!$C$5:$C$19,MATCH(B98,Items!$A$5:$A$19,0)),""))</f>
        <v/>
      </c>
      <c r="F98" s="18" t="str">
        <f t="shared" si="6"/>
        <v/>
      </c>
      <c r="G98" s="27"/>
      <c r="H98" s="23" t="str">
        <f>IF(OR(A98="",B98="",D98=""),"",IFERROR(INDEX(Items!$D$5:$D$19,MATCH(B98,Items!$A$5:$A$19,0))+SUMIFS(D$4:D97,B$4:B97,B98),""))</f>
        <v/>
      </c>
      <c r="I98" s="23" t="str">
        <f t="shared" si="7"/>
        <v/>
      </c>
      <c r="J98" s="23" t="str">
        <f t="shared" si="8"/>
        <v/>
      </c>
      <c r="K98" s="18" t="str">
        <f t="shared" si="9"/>
        <v/>
      </c>
      <c r="L98" s="16" t="str">
        <f t="shared" ca="1" si="10"/>
        <v/>
      </c>
      <c r="M98" s="25" t="str">
        <f>IF(H98="","",IF(I98&lt;=0,"Shipped",IF(L98&lt;=AGE30,"Fresh",IF(L98&lt;=AGE60,"Watch",IF(L98&lt;=AGE90,"Aging","Old")))))</f>
        <v/>
      </c>
      <c r="N98" s="16" t="str">
        <f t="shared" si="11"/>
        <v/>
      </c>
    </row>
    <row r="99" spans="1:14" x14ac:dyDescent="0.2">
      <c r="A99" s="32"/>
      <c r="B99" s="27"/>
      <c r="C99" s="15" t="str">
        <f>IF(B99="","",IFERROR(INDEX(Items!$B$5:$B$19,MATCH(B99,Items!$A$5:$A$19,0)),"Unknown code"))</f>
        <v/>
      </c>
      <c r="D99" s="29"/>
      <c r="E99" s="18" t="str">
        <f>IF(B99="","",IFERROR(INDEX(Items!$C$5:$C$19,MATCH(B99,Items!$A$5:$A$19,0)),""))</f>
        <v/>
      </c>
      <c r="F99" s="18" t="str">
        <f t="shared" si="6"/>
        <v/>
      </c>
      <c r="G99" s="27"/>
      <c r="H99" s="23" t="str">
        <f>IF(OR(A99="",B99="",D99=""),"",IFERROR(INDEX(Items!$D$5:$D$19,MATCH(B99,Items!$A$5:$A$19,0))+SUMIFS(D$4:D98,B$4:B98,B99),""))</f>
        <v/>
      </c>
      <c r="I99" s="23" t="str">
        <f t="shared" si="7"/>
        <v/>
      </c>
      <c r="J99" s="23" t="str">
        <f t="shared" si="8"/>
        <v/>
      </c>
      <c r="K99" s="18" t="str">
        <f t="shared" si="9"/>
        <v/>
      </c>
      <c r="L99" s="16" t="str">
        <f t="shared" ca="1" si="10"/>
        <v/>
      </c>
      <c r="M99" s="25" t="str">
        <f>IF(H99="","",IF(I99&lt;=0,"Shipped",IF(L99&lt;=AGE30,"Fresh",IF(L99&lt;=AGE60,"Watch",IF(L99&lt;=AGE90,"Aging","Old")))))</f>
        <v/>
      </c>
      <c r="N99" s="16" t="str">
        <f t="shared" si="11"/>
        <v/>
      </c>
    </row>
    <row r="100" spans="1:14" x14ac:dyDescent="0.2">
      <c r="A100" s="32"/>
      <c r="B100" s="27"/>
      <c r="C100" s="15" t="str">
        <f>IF(B100="","",IFERROR(INDEX(Items!$B$5:$B$19,MATCH(B100,Items!$A$5:$A$19,0)),"Unknown code"))</f>
        <v/>
      </c>
      <c r="D100" s="29"/>
      <c r="E100" s="18" t="str">
        <f>IF(B100="","",IFERROR(INDEX(Items!$C$5:$C$19,MATCH(B100,Items!$A$5:$A$19,0)),""))</f>
        <v/>
      </c>
      <c r="F100" s="18" t="str">
        <f t="shared" si="6"/>
        <v/>
      </c>
      <c r="G100" s="27"/>
      <c r="H100" s="23" t="str">
        <f>IF(OR(A100="",B100="",D100=""),"",IFERROR(INDEX(Items!$D$5:$D$19,MATCH(B100,Items!$A$5:$A$19,0))+SUMIFS(D$4:D99,B$4:B99,B100),""))</f>
        <v/>
      </c>
      <c r="I100" s="23" t="str">
        <f t="shared" si="7"/>
        <v/>
      </c>
      <c r="J100" s="23" t="str">
        <f t="shared" si="8"/>
        <v/>
      </c>
      <c r="K100" s="18" t="str">
        <f t="shared" si="9"/>
        <v/>
      </c>
      <c r="L100" s="16" t="str">
        <f t="shared" ca="1" si="10"/>
        <v/>
      </c>
      <c r="M100" s="25" t="str">
        <f>IF(H100="","",IF(I100&lt;=0,"Shipped",IF(L100&lt;=AGE30,"Fresh",IF(L100&lt;=AGE60,"Watch",IF(L100&lt;=AGE90,"Aging","Old")))))</f>
        <v/>
      </c>
      <c r="N100" s="16" t="str">
        <f t="shared" si="11"/>
        <v/>
      </c>
    </row>
    <row r="101" spans="1:14" x14ac:dyDescent="0.2">
      <c r="A101" s="32"/>
      <c r="B101" s="27"/>
      <c r="C101" s="15" t="str">
        <f>IF(B101="","",IFERROR(INDEX(Items!$B$5:$B$19,MATCH(B101,Items!$A$5:$A$19,0)),"Unknown code"))</f>
        <v/>
      </c>
      <c r="D101" s="29"/>
      <c r="E101" s="18" t="str">
        <f>IF(B101="","",IFERROR(INDEX(Items!$C$5:$C$19,MATCH(B101,Items!$A$5:$A$19,0)),""))</f>
        <v/>
      </c>
      <c r="F101" s="18" t="str">
        <f t="shared" si="6"/>
        <v/>
      </c>
      <c r="G101" s="27"/>
      <c r="H101" s="23" t="str">
        <f>IF(OR(A101="",B101="",D101=""),"",IFERROR(INDEX(Items!$D$5:$D$19,MATCH(B101,Items!$A$5:$A$19,0))+SUMIFS(D$4:D100,B$4:B100,B101),""))</f>
        <v/>
      </c>
      <c r="I101" s="23" t="str">
        <f t="shared" si="7"/>
        <v/>
      </c>
      <c r="J101" s="23" t="str">
        <f t="shared" si="8"/>
        <v/>
      </c>
      <c r="K101" s="18" t="str">
        <f t="shared" si="9"/>
        <v/>
      </c>
      <c r="L101" s="16" t="str">
        <f t="shared" ca="1" si="10"/>
        <v/>
      </c>
      <c r="M101" s="25" t="str">
        <f>IF(H101="","",IF(I101&lt;=0,"Shipped",IF(L101&lt;=AGE30,"Fresh",IF(L101&lt;=AGE60,"Watch",IF(L101&lt;=AGE90,"Aging","Old")))))</f>
        <v/>
      </c>
      <c r="N101" s="16" t="str">
        <f t="shared" si="11"/>
        <v/>
      </c>
    </row>
    <row r="102" spans="1:14" x14ac:dyDescent="0.2">
      <c r="A102" s="32"/>
      <c r="B102" s="27"/>
      <c r="C102" s="15" t="str">
        <f>IF(B102="","",IFERROR(INDEX(Items!$B$5:$B$19,MATCH(B102,Items!$A$5:$A$19,0)),"Unknown code"))</f>
        <v/>
      </c>
      <c r="D102" s="29"/>
      <c r="E102" s="18" t="str">
        <f>IF(B102="","",IFERROR(INDEX(Items!$C$5:$C$19,MATCH(B102,Items!$A$5:$A$19,0)),""))</f>
        <v/>
      </c>
      <c r="F102" s="18" t="str">
        <f t="shared" si="6"/>
        <v/>
      </c>
      <c r="G102" s="27"/>
      <c r="H102" s="23" t="str">
        <f>IF(OR(A102="",B102="",D102=""),"",IFERROR(INDEX(Items!$D$5:$D$19,MATCH(B102,Items!$A$5:$A$19,0))+SUMIFS(D$4:D101,B$4:B101,B102),""))</f>
        <v/>
      </c>
      <c r="I102" s="23" t="str">
        <f t="shared" si="7"/>
        <v/>
      </c>
      <c r="J102" s="23" t="str">
        <f t="shared" si="8"/>
        <v/>
      </c>
      <c r="K102" s="18" t="str">
        <f t="shared" si="9"/>
        <v/>
      </c>
      <c r="L102" s="16" t="str">
        <f t="shared" ca="1" si="10"/>
        <v/>
      </c>
      <c r="M102" s="25" t="str">
        <f>IF(H102="","",IF(I102&lt;=0,"Shipped",IF(L102&lt;=AGE30,"Fresh",IF(L102&lt;=AGE60,"Watch",IF(L102&lt;=AGE90,"Aging","Old")))))</f>
        <v/>
      </c>
      <c r="N102" s="16" t="str">
        <f t="shared" si="11"/>
        <v/>
      </c>
    </row>
    <row r="103" spans="1:14" x14ac:dyDescent="0.2">
      <c r="A103" s="32"/>
      <c r="B103" s="27"/>
      <c r="C103" s="15" t="str">
        <f>IF(B103="","",IFERROR(INDEX(Items!$B$5:$B$19,MATCH(B103,Items!$A$5:$A$19,0)),"Unknown code"))</f>
        <v/>
      </c>
      <c r="D103" s="29"/>
      <c r="E103" s="18" t="str">
        <f>IF(B103="","",IFERROR(INDEX(Items!$C$5:$C$19,MATCH(B103,Items!$A$5:$A$19,0)),""))</f>
        <v/>
      </c>
      <c r="F103" s="18" t="str">
        <f t="shared" si="6"/>
        <v/>
      </c>
      <c r="G103" s="27"/>
      <c r="H103" s="23" t="str">
        <f>IF(OR(A103="",B103="",D103=""),"",IFERROR(INDEX(Items!$D$5:$D$19,MATCH(B103,Items!$A$5:$A$19,0))+SUMIFS(D$4:D102,B$4:B102,B103),""))</f>
        <v/>
      </c>
      <c r="I103" s="23" t="str">
        <f t="shared" si="7"/>
        <v/>
      </c>
      <c r="J103" s="23" t="str">
        <f t="shared" si="8"/>
        <v/>
      </c>
      <c r="K103" s="18" t="str">
        <f t="shared" si="9"/>
        <v/>
      </c>
      <c r="L103" s="16" t="str">
        <f t="shared" ca="1" si="10"/>
        <v/>
      </c>
      <c r="M103" s="25" t="str">
        <f>IF(H103="","",IF(I103&lt;=0,"Shipped",IF(L103&lt;=AGE30,"Fresh",IF(L103&lt;=AGE60,"Watch",IF(L103&lt;=AGE90,"Aging","Old")))))</f>
        <v/>
      </c>
      <c r="N103" s="16" t="str">
        <f t="shared" si="11"/>
        <v/>
      </c>
    </row>
    <row r="104" spans="1:14" x14ac:dyDescent="0.2">
      <c r="A104" s="32"/>
      <c r="B104" s="27"/>
      <c r="C104" s="15" t="str">
        <f>IF(B104="","",IFERROR(INDEX(Items!$B$5:$B$19,MATCH(B104,Items!$A$5:$A$19,0)),"Unknown code"))</f>
        <v/>
      </c>
      <c r="D104" s="29"/>
      <c r="E104" s="18" t="str">
        <f>IF(B104="","",IFERROR(INDEX(Items!$C$5:$C$19,MATCH(B104,Items!$A$5:$A$19,0)),""))</f>
        <v/>
      </c>
      <c r="F104" s="18" t="str">
        <f t="shared" si="6"/>
        <v/>
      </c>
      <c r="G104" s="27"/>
      <c r="H104" s="23" t="str">
        <f>IF(OR(A104="",B104="",D104=""),"",IFERROR(INDEX(Items!$D$5:$D$19,MATCH(B104,Items!$A$5:$A$19,0))+SUMIFS(D$4:D103,B$4:B103,B104),""))</f>
        <v/>
      </c>
      <c r="I104" s="23" t="str">
        <f t="shared" si="7"/>
        <v/>
      </c>
      <c r="J104" s="23" t="str">
        <f t="shared" si="8"/>
        <v/>
      </c>
      <c r="K104" s="18" t="str">
        <f t="shared" si="9"/>
        <v/>
      </c>
      <c r="L104" s="16" t="str">
        <f t="shared" ca="1" si="10"/>
        <v/>
      </c>
      <c r="M104" s="25" t="str">
        <f>IF(H104="","",IF(I104&lt;=0,"Shipped",IF(L104&lt;=AGE30,"Fresh",IF(L104&lt;=AGE60,"Watch",IF(L104&lt;=AGE90,"Aging","Old")))))</f>
        <v/>
      </c>
      <c r="N104" s="16" t="str">
        <f t="shared" si="11"/>
        <v/>
      </c>
    </row>
    <row r="105" spans="1:14" x14ac:dyDescent="0.2">
      <c r="A105" s="32"/>
      <c r="B105" s="27"/>
      <c r="C105" s="15" t="str">
        <f>IF(B105="","",IFERROR(INDEX(Items!$B$5:$B$19,MATCH(B105,Items!$A$5:$A$19,0)),"Unknown code"))</f>
        <v/>
      </c>
      <c r="D105" s="29"/>
      <c r="E105" s="18" t="str">
        <f>IF(B105="","",IFERROR(INDEX(Items!$C$5:$C$19,MATCH(B105,Items!$A$5:$A$19,0)),""))</f>
        <v/>
      </c>
      <c r="F105" s="18" t="str">
        <f t="shared" si="6"/>
        <v/>
      </c>
      <c r="G105" s="27"/>
      <c r="H105" s="23" t="str">
        <f>IF(OR(A105="",B105="",D105=""),"",IFERROR(INDEX(Items!$D$5:$D$19,MATCH(B105,Items!$A$5:$A$19,0))+SUMIFS(D$4:D104,B$4:B104,B105),""))</f>
        <v/>
      </c>
      <c r="I105" s="23" t="str">
        <f t="shared" si="7"/>
        <v/>
      </c>
      <c r="J105" s="23" t="str">
        <f t="shared" si="8"/>
        <v/>
      </c>
      <c r="K105" s="18" t="str">
        <f t="shared" si="9"/>
        <v/>
      </c>
      <c r="L105" s="16" t="str">
        <f t="shared" ca="1" si="10"/>
        <v/>
      </c>
      <c r="M105" s="25" t="str">
        <f>IF(H105="","",IF(I105&lt;=0,"Shipped",IF(L105&lt;=AGE30,"Fresh",IF(L105&lt;=AGE60,"Watch",IF(L105&lt;=AGE90,"Aging","Old")))))</f>
        <v/>
      </c>
      <c r="N105" s="16" t="str">
        <f t="shared" si="11"/>
        <v/>
      </c>
    </row>
    <row r="106" spans="1:14" x14ac:dyDescent="0.2">
      <c r="A106" s="32"/>
      <c r="B106" s="27"/>
      <c r="C106" s="15" t="str">
        <f>IF(B106="","",IFERROR(INDEX(Items!$B$5:$B$19,MATCH(B106,Items!$A$5:$A$19,0)),"Unknown code"))</f>
        <v/>
      </c>
      <c r="D106" s="29"/>
      <c r="E106" s="18" t="str">
        <f>IF(B106="","",IFERROR(INDEX(Items!$C$5:$C$19,MATCH(B106,Items!$A$5:$A$19,0)),""))</f>
        <v/>
      </c>
      <c r="F106" s="18" t="str">
        <f t="shared" si="6"/>
        <v/>
      </c>
      <c r="G106" s="27"/>
      <c r="H106" s="23" t="str">
        <f>IF(OR(A106="",B106="",D106=""),"",IFERROR(INDEX(Items!$D$5:$D$19,MATCH(B106,Items!$A$5:$A$19,0))+SUMIFS(D$4:D105,B$4:B105,B106),""))</f>
        <v/>
      </c>
      <c r="I106" s="23" t="str">
        <f t="shared" si="7"/>
        <v/>
      </c>
      <c r="J106" s="23" t="str">
        <f t="shared" si="8"/>
        <v/>
      </c>
      <c r="K106" s="18" t="str">
        <f t="shared" si="9"/>
        <v/>
      </c>
      <c r="L106" s="16" t="str">
        <f t="shared" ca="1" si="10"/>
        <v/>
      </c>
      <c r="M106" s="25" t="str">
        <f>IF(H106="","",IF(I106&lt;=0,"Shipped",IF(L106&lt;=AGE30,"Fresh",IF(L106&lt;=AGE60,"Watch",IF(L106&lt;=AGE90,"Aging","Old")))))</f>
        <v/>
      </c>
      <c r="N106" s="16" t="str">
        <f t="shared" si="11"/>
        <v/>
      </c>
    </row>
    <row r="107" spans="1:14" x14ac:dyDescent="0.2">
      <c r="A107" s="32"/>
      <c r="B107" s="27"/>
      <c r="C107" s="15" t="str">
        <f>IF(B107="","",IFERROR(INDEX(Items!$B$5:$B$19,MATCH(B107,Items!$A$5:$A$19,0)),"Unknown code"))</f>
        <v/>
      </c>
      <c r="D107" s="29"/>
      <c r="E107" s="18" t="str">
        <f>IF(B107="","",IFERROR(INDEX(Items!$C$5:$C$19,MATCH(B107,Items!$A$5:$A$19,0)),""))</f>
        <v/>
      </c>
      <c r="F107" s="18" t="str">
        <f t="shared" si="6"/>
        <v/>
      </c>
      <c r="G107" s="27"/>
      <c r="H107" s="23" t="str">
        <f>IF(OR(A107="",B107="",D107=""),"",IFERROR(INDEX(Items!$D$5:$D$19,MATCH(B107,Items!$A$5:$A$19,0))+SUMIFS(D$4:D106,B$4:B106,B107),""))</f>
        <v/>
      </c>
      <c r="I107" s="23" t="str">
        <f t="shared" si="7"/>
        <v/>
      </c>
      <c r="J107" s="23" t="str">
        <f t="shared" si="8"/>
        <v/>
      </c>
      <c r="K107" s="18" t="str">
        <f t="shared" si="9"/>
        <v/>
      </c>
      <c r="L107" s="16" t="str">
        <f t="shared" ca="1" si="10"/>
        <v/>
      </c>
      <c r="M107" s="25" t="str">
        <f>IF(H107="","",IF(I107&lt;=0,"Shipped",IF(L107&lt;=AGE30,"Fresh",IF(L107&lt;=AGE60,"Watch",IF(L107&lt;=AGE90,"Aging","Old")))))</f>
        <v/>
      </c>
      <c r="N107" s="16" t="str">
        <f t="shared" si="11"/>
        <v/>
      </c>
    </row>
    <row r="108" spans="1:14" x14ac:dyDescent="0.2">
      <c r="A108" s="32"/>
      <c r="B108" s="27"/>
      <c r="C108" s="15" t="str">
        <f>IF(B108="","",IFERROR(INDEX(Items!$B$5:$B$19,MATCH(B108,Items!$A$5:$A$19,0)),"Unknown code"))</f>
        <v/>
      </c>
      <c r="D108" s="29"/>
      <c r="E108" s="18" t="str">
        <f>IF(B108="","",IFERROR(INDEX(Items!$C$5:$C$19,MATCH(B108,Items!$A$5:$A$19,0)),""))</f>
        <v/>
      </c>
      <c r="F108" s="18" t="str">
        <f t="shared" si="6"/>
        <v/>
      </c>
      <c r="G108" s="27"/>
      <c r="H108" s="23" t="str">
        <f>IF(OR(A108="",B108="",D108=""),"",IFERROR(INDEX(Items!$D$5:$D$19,MATCH(B108,Items!$A$5:$A$19,0))+SUMIFS(D$4:D107,B$4:B107,B108),""))</f>
        <v/>
      </c>
      <c r="I108" s="23" t="str">
        <f t="shared" si="7"/>
        <v/>
      </c>
      <c r="J108" s="23" t="str">
        <f t="shared" si="8"/>
        <v/>
      </c>
      <c r="K108" s="18" t="str">
        <f t="shared" si="9"/>
        <v/>
      </c>
      <c r="L108" s="16" t="str">
        <f t="shared" ca="1" si="10"/>
        <v/>
      </c>
      <c r="M108" s="25" t="str">
        <f>IF(H108="","",IF(I108&lt;=0,"Shipped",IF(L108&lt;=AGE30,"Fresh",IF(L108&lt;=AGE60,"Watch",IF(L108&lt;=AGE90,"Aging","Old")))))</f>
        <v/>
      </c>
      <c r="N108" s="16" t="str">
        <f t="shared" si="11"/>
        <v/>
      </c>
    </row>
    <row r="109" spans="1:14" x14ac:dyDescent="0.2">
      <c r="A109" s="32"/>
      <c r="B109" s="27"/>
      <c r="C109" s="15" t="str">
        <f>IF(B109="","",IFERROR(INDEX(Items!$B$5:$B$19,MATCH(B109,Items!$A$5:$A$19,0)),"Unknown code"))</f>
        <v/>
      </c>
      <c r="D109" s="29"/>
      <c r="E109" s="18" t="str">
        <f>IF(B109="","",IFERROR(INDEX(Items!$C$5:$C$19,MATCH(B109,Items!$A$5:$A$19,0)),""))</f>
        <v/>
      </c>
      <c r="F109" s="18" t="str">
        <f t="shared" si="6"/>
        <v/>
      </c>
      <c r="G109" s="27"/>
      <c r="H109" s="23" t="str">
        <f>IF(OR(A109="",B109="",D109=""),"",IFERROR(INDEX(Items!$D$5:$D$19,MATCH(B109,Items!$A$5:$A$19,0))+SUMIFS(D$4:D108,B$4:B108,B109),""))</f>
        <v/>
      </c>
      <c r="I109" s="23" t="str">
        <f t="shared" si="7"/>
        <v/>
      </c>
      <c r="J109" s="23" t="str">
        <f t="shared" si="8"/>
        <v/>
      </c>
      <c r="K109" s="18" t="str">
        <f t="shared" si="9"/>
        <v/>
      </c>
      <c r="L109" s="16" t="str">
        <f t="shared" ca="1" si="10"/>
        <v/>
      </c>
      <c r="M109" s="25" t="str">
        <f>IF(H109="","",IF(I109&lt;=0,"Shipped",IF(L109&lt;=AGE30,"Fresh",IF(L109&lt;=AGE60,"Watch",IF(L109&lt;=AGE90,"Aging","Old")))))</f>
        <v/>
      </c>
      <c r="N109" s="16" t="str">
        <f t="shared" si="11"/>
        <v/>
      </c>
    </row>
    <row r="110" spans="1:14" x14ac:dyDescent="0.2">
      <c r="A110" s="32"/>
      <c r="B110" s="27"/>
      <c r="C110" s="15" t="str">
        <f>IF(B110="","",IFERROR(INDEX(Items!$B$5:$B$19,MATCH(B110,Items!$A$5:$A$19,0)),"Unknown code"))</f>
        <v/>
      </c>
      <c r="D110" s="29"/>
      <c r="E110" s="18" t="str">
        <f>IF(B110="","",IFERROR(INDEX(Items!$C$5:$C$19,MATCH(B110,Items!$A$5:$A$19,0)),""))</f>
        <v/>
      </c>
      <c r="F110" s="18" t="str">
        <f t="shared" si="6"/>
        <v/>
      </c>
      <c r="G110" s="27"/>
      <c r="H110" s="23" t="str">
        <f>IF(OR(A110="",B110="",D110=""),"",IFERROR(INDEX(Items!$D$5:$D$19,MATCH(B110,Items!$A$5:$A$19,0))+SUMIFS(D$4:D109,B$4:B109,B110),""))</f>
        <v/>
      </c>
      <c r="I110" s="23" t="str">
        <f t="shared" si="7"/>
        <v/>
      </c>
      <c r="J110" s="23" t="str">
        <f t="shared" si="8"/>
        <v/>
      </c>
      <c r="K110" s="18" t="str">
        <f t="shared" si="9"/>
        <v/>
      </c>
      <c r="L110" s="16" t="str">
        <f t="shared" ca="1" si="10"/>
        <v/>
      </c>
      <c r="M110" s="25" t="str">
        <f>IF(H110="","",IF(I110&lt;=0,"Shipped",IF(L110&lt;=AGE30,"Fresh",IF(L110&lt;=AGE60,"Watch",IF(L110&lt;=AGE90,"Aging","Old")))))</f>
        <v/>
      </c>
      <c r="N110" s="16" t="str">
        <f t="shared" si="11"/>
        <v/>
      </c>
    </row>
    <row r="111" spans="1:14" x14ac:dyDescent="0.2">
      <c r="A111" s="32"/>
      <c r="B111" s="27"/>
      <c r="C111" s="15" t="str">
        <f>IF(B111="","",IFERROR(INDEX(Items!$B$5:$B$19,MATCH(B111,Items!$A$5:$A$19,0)),"Unknown code"))</f>
        <v/>
      </c>
      <c r="D111" s="29"/>
      <c r="E111" s="18" t="str">
        <f>IF(B111="","",IFERROR(INDEX(Items!$C$5:$C$19,MATCH(B111,Items!$A$5:$A$19,0)),""))</f>
        <v/>
      </c>
      <c r="F111" s="18" t="str">
        <f t="shared" si="6"/>
        <v/>
      </c>
      <c r="G111" s="27"/>
      <c r="H111" s="23" t="str">
        <f>IF(OR(A111="",B111="",D111=""),"",IFERROR(INDEX(Items!$D$5:$D$19,MATCH(B111,Items!$A$5:$A$19,0))+SUMIFS(D$4:D110,B$4:B110,B111),""))</f>
        <v/>
      </c>
      <c r="I111" s="23" t="str">
        <f t="shared" si="7"/>
        <v/>
      </c>
      <c r="J111" s="23" t="str">
        <f t="shared" si="8"/>
        <v/>
      </c>
      <c r="K111" s="18" t="str">
        <f t="shared" si="9"/>
        <v/>
      </c>
      <c r="L111" s="16" t="str">
        <f t="shared" ca="1" si="10"/>
        <v/>
      </c>
      <c r="M111" s="25" t="str">
        <f>IF(H111="","",IF(I111&lt;=0,"Shipped",IF(L111&lt;=AGE30,"Fresh",IF(L111&lt;=AGE60,"Watch",IF(L111&lt;=AGE90,"Aging","Old")))))</f>
        <v/>
      </c>
      <c r="N111" s="16" t="str">
        <f t="shared" si="11"/>
        <v/>
      </c>
    </row>
    <row r="112" spans="1:14" x14ac:dyDescent="0.2">
      <c r="A112" s="32"/>
      <c r="B112" s="27"/>
      <c r="C112" s="15" t="str">
        <f>IF(B112="","",IFERROR(INDEX(Items!$B$5:$B$19,MATCH(B112,Items!$A$5:$A$19,0)),"Unknown code"))</f>
        <v/>
      </c>
      <c r="D112" s="29"/>
      <c r="E112" s="18" t="str">
        <f>IF(B112="","",IFERROR(INDEX(Items!$C$5:$C$19,MATCH(B112,Items!$A$5:$A$19,0)),""))</f>
        <v/>
      </c>
      <c r="F112" s="18" t="str">
        <f t="shared" si="6"/>
        <v/>
      </c>
      <c r="G112" s="27"/>
      <c r="H112" s="23" t="str">
        <f>IF(OR(A112="",B112="",D112=""),"",IFERROR(INDEX(Items!$D$5:$D$19,MATCH(B112,Items!$A$5:$A$19,0))+SUMIFS(D$4:D111,B$4:B111,B112),""))</f>
        <v/>
      </c>
      <c r="I112" s="23" t="str">
        <f t="shared" si="7"/>
        <v/>
      </c>
      <c r="J112" s="23" t="str">
        <f t="shared" si="8"/>
        <v/>
      </c>
      <c r="K112" s="18" t="str">
        <f t="shared" si="9"/>
        <v/>
      </c>
      <c r="L112" s="16" t="str">
        <f t="shared" ca="1" si="10"/>
        <v/>
      </c>
      <c r="M112" s="25" t="str">
        <f>IF(H112="","",IF(I112&lt;=0,"Shipped",IF(L112&lt;=AGE30,"Fresh",IF(L112&lt;=AGE60,"Watch",IF(L112&lt;=AGE90,"Aging","Old")))))</f>
        <v/>
      </c>
      <c r="N112" s="16" t="str">
        <f t="shared" si="11"/>
        <v/>
      </c>
    </row>
    <row r="113" spans="1:14" x14ac:dyDescent="0.2">
      <c r="A113" s="32"/>
      <c r="B113" s="27"/>
      <c r="C113" s="15" t="str">
        <f>IF(B113="","",IFERROR(INDEX(Items!$B$5:$B$19,MATCH(B113,Items!$A$5:$A$19,0)),"Unknown code"))</f>
        <v/>
      </c>
      <c r="D113" s="29"/>
      <c r="E113" s="18" t="str">
        <f>IF(B113="","",IFERROR(INDEX(Items!$C$5:$C$19,MATCH(B113,Items!$A$5:$A$19,0)),""))</f>
        <v/>
      </c>
      <c r="F113" s="18" t="str">
        <f t="shared" si="6"/>
        <v/>
      </c>
      <c r="G113" s="27"/>
      <c r="H113" s="23" t="str">
        <f>IF(OR(A113="",B113="",D113=""),"",IFERROR(INDEX(Items!$D$5:$D$19,MATCH(B113,Items!$A$5:$A$19,0))+SUMIFS(D$4:D112,B$4:B112,B113),""))</f>
        <v/>
      </c>
      <c r="I113" s="23" t="str">
        <f t="shared" si="7"/>
        <v/>
      </c>
      <c r="J113" s="23" t="str">
        <f t="shared" si="8"/>
        <v/>
      </c>
      <c r="K113" s="18" t="str">
        <f t="shared" si="9"/>
        <v/>
      </c>
      <c r="L113" s="16" t="str">
        <f t="shared" ca="1" si="10"/>
        <v/>
      </c>
      <c r="M113" s="25" t="str">
        <f>IF(H113="","",IF(I113&lt;=0,"Shipped",IF(L113&lt;=AGE30,"Fresh",IF(L113&lt;=AGE60,"Watch",IF(L113&lt;=AGE90,"Aging","Old")))))</f>
        <v/>
      </c>
      <c r="N113" s="16" t="str">
        <f t="shared" si="11"/>
        <v/>
      </c>
    </row>
    <row r="114" spans="1:14" x14ac:dyDescent="0.2">
      <c r="A114" s="32"/>
      <c r="B114" s="27"/>
      <c r="C114" s="15" t="str">
        <f>IF(B114="","",IFERROR(INDEX(Items!$B$5:$B$19,MATCH(B114,Items!$A$5:$A$19,0)),"Unknown code"))</f>
        <v/>
      </c>
      <c r="D114" s="29"/>
      <c r="E114" s="18" t="str">
        <f>IF(B114="","",IFERROR(INDEX(Items!$C$5:$C$19,MATCH(B114,Items!$A$5:$A$19,0)),""))</f>
        <v/>
      </c>
      <c r="F114" s="18" t="str">
        <f t="shared" si="6"/>
        <v/>
      </c>
      <c r="G114" s="27"/>
      <c r="H114" s="23" t="str">
        <f>IF(OR(A114="",B114="",D114=""),"",IFERROR(INDEX(Items!$D$5:$D$19,MATCH(B114,Items!$A$5:$A$19,0))+SUMIFS(D$4:D113,B$4:B113,B114),""))</f>
        <v/>
      </c>
      <c r="I114" s="23" t="str">
        <f t="shared" si="7"/>
        <v/>
      </c>
      <c r="J114" s="23" t="str">
        <f t="shared" si="8"/>
        <v/>
      </c>
      <c r="K114" s="18" t="str">
        <f t="shared" si="9"/>
        <v/>
      </c>
      <c r="L114" s="16" t="str">
        <f t="shared" ca="1" si="10"/>
        <v/>
      </c>
      <c r="M114" s="25" t="str">
        <f>IF(H114="","",IF(I114&lt;=0,"Shipped",IF(L114&lt;=AGE30,"Fresh",IF(L114&lt;=AGE60,"Watch",IF(L114&lt;=AGE90,"Aging","Old")))))</f>
        <v/>
      </c>
      <c r="N114" s="16" t="str">
        <f t="shared" si="11"/>
        <v/>
      </c>
    </row>
    <row r="115" spans="1:14" x14ac:dyDescent="0.2">
      <c r="A115" s="32"/>
      <c r="B115" s="27"/>
      <c r="C115" s="15" t="str">
        <f>IF(B115="","",IFERROR(INDEX(Items!$B$5:$B$19,MATCH(B115,Items!$A$5:$A$19,0)),"Unknown code"))</f>
        <v/>
      </c>
      <c r="D115" s="29"/>
      <c r="E115" s="18" t="str">
        <f>IF(B115="","",IFERROR(INDEX(Items!$C$5:$C$19,MATCH(B115,Items!$A$5:$A$19,0)),""))</f>
        <v/>
      </c>
      <c r="F115" s="18" t="str">
        <f t="shared" si="6"/>
        <v/>
      </c>
      <c r="G115" s="27"/>
      <c r="H115" s="23" t="str">
        <f>IF(OR(A115="",B115="",D115=""),"",IFERROR(INDEX(Items!$D$5:$D$19,MATCH(B115,Items!$A$5:$A$19,0))+SUMIFS(D$4:D114,B$4:B114,B115),""))</f>
        <v/>
      </c>
      <c r="I115" s="23" t="str">
        <f t="shared" si="7"/>
        <v/>
      </c>
      <c r="J115" s="23" t="str">
        <f t="shared" si="8"/>
        <v/>
      </c>
      <c r="K115" s="18" t="str">
        <f t="shared" si="9"/>
        <v/>
      </c>
      <c r="L115" s="16" t="str">
        <f t="shared" ca="1" si="10"/>
        <v/>
      </c>
      <c r="M115" s="25" t="str">
        <f>IF(H115="","",IF(I115&lt;=0,"Shipped",IF(L115&lt;=AGE30,"Fresh",IF(L115&lt;=AGE60,"Watch",IF(L115&lt;=AGE90,"Aging","Old")))))</f>
        <v/>
      </c>
      <c r="N115" s="16" t="str">
        <f t="shared" si="11"/>
        <v/>
      </c>
    </row>
    <row r="116" spans="1:14" x14ac:dyDescent="0.2">
      <c r="A116" s="32"/>
      <c r="B116" s="27"/>
      <c r="C116" s="15" t="str">
        <f>IF(B116="","",IFERROR(INDEX(Items!$B$5:$B$19,MATCH(B116,Items!$A$5:$A$19,0)),"Unknown code"))</f>
        <v/>
      </c>
      <c r="D116" s="29"/>
      <c r="E116" s="18" t="str">
        <f>IF(B116="","",IFERROR(INDEX(Items!$C$5:$C$19,MATCH(B116,Items!$A$5:$A$19,0)),""))</f>
        <v/>
      </c>
      <c r="F116" s="18" t="str">
        <f t="shared" si="6"/>
        <v/>
      </c>
      <c r="G116" s="27"/>
      <c r="H116" s="23" t="str">
        <f>IF(OR(A116="",B116="",D116=""),"",IFERROR(INDEX(Items!$D$5:$D$19,MATCH(B116,Items!$A$5:$A$19,0))+SUMIFS(D$4:D115,B$4:B115,B116),""))</f>
        <v/>
      </c>
      <c r="I116" s="23" t="str">
        <f t="shared" si="7"/>
        <v/>
      </c>
      <c r="J116" s="23" t="str">
        <f t="shared" si="8"/>
        <v/>
      </c>
      <c r="K116" s="18" t="str">
        <f t="shared" si="9"/>
        <v/>
      </c>
      <c r="L116" s="16" t="str">
        <f t="shared" ca="1" si="10"/>
        <v/>
      </c>
      <c r="M116" s="25" t="str">
        <f>IF(H116="","",IF(I116&lt;=0,"Shipped",IF(L116&lt;=AGE30,"Fresh",IF(L116&lt;=AGE60,"Watch",IF(L116&lt;=AGE90,"Aging","Old")))))</f>
        <v/>
      </c>
      <c r="N116" s="16" t="str">
        <f t="shared" si="11"/>
        <v/>
      </c>
    </row>
    <row r="117" spans="1:14" x14ac:dyDescent="0.2">
      <c r="A117" s="32"/>
      <c r="B117" s="27"/>
      <c r="C117" s="15" t="str">
        <f>IF(B117="","",IFERROR(INDEX(Items!$B$5:$B$19,MATCH(B117,Items!$A$5:$A$19,0)),"Unknown code"))</f>
        <v/>
      </c>
      <c r="D117" s="29"/>
      <c r="E117" s="18" t="str">
        <f>IF(B117="","",IFERROR(INDEX(Items!$C$5:$C$19,MATCH(B117,Items!$A$5:$A$19,0)),""))</f>
        <v/>
      </c>
      <c r="F117" s="18" t="str">
        <f t="shared" si="6"/>
        <v/>
      </c>
      <c r="G117" s="27"/>
      <c r="H117" s="23" t="str">
        <f>IF(OR(A117="",B117="",D117=""),"",IFERROR(INDEX(Items!$D$5:$D$19,MATCH(B117,Items!$A$5:$A$19,0))+SUMIFS(D$4:D116,B$4:B116,B117),""))</f>
        <v/>
      </c>
      <c r="I117" s="23" t="str">
        <f t="shared" si="7"/>
        <v/>
      </c>
      <c r="J117" s="23" t="str">
        <f t="shared" si="8"/>
        <v/>
      </c>
      <c r="K117" s="18" t="str">
        <f t="shared" si="9"/>
        <v/>
      </c>
      <c r="L117" s="16" t="str">
        <f t="shared" ca="1" si="10"/>
        <v/>
      </c>
      <c r="M117" s="25" t="str">
        <f>IF(H117="","",IF(I117&lt;=0,"Shipped",IF(L117&lt;=AGE30,"Fresh",IF(L117&lt;=AGE60,"Watch",IF(L117&lt;=AGE90,"Aging","Old")))))</f>
        <v/>
      </c>
      <c r="N117" s="16" t="str">
        <f t="shared" si="11"/>
        <v/>
      </c>
    </row>
    <row r="118" spans="1:14" x14ac:dyDescent="0.2">
      <c r="A118" s="32"/>
      <c r="B118" s="27"/>
      <c r="C118" s="15" t="str">
        <f>IF(B118="","",IFERROR(INDEX(Items!$B$5:$B$19,MATCH(B118,Items!$A$5:$A$19,0)),"Unknown code"))</f>
        <v/>
      </c>
      <c r="D118" s="29"/>
      <c r="E118" s="18" t="str">
        <f>IF(B118="","",IFERROR(INDEX(Items!$C$5:$C$19,MATCH(B118,Items!$A$5:$A$19,0)),""))</f>
        <v/>
      </c>
      <c r="F118" s="18" t="str">
        <f t="shared" si="6"/>
        <v/>
      </c>
      <c r="G118" s="27"/>
      <c r="H118" s="23" t="str">
        <f>IF(OR(A118="",B118="",D118=""),"",IFERROR(INDEX(Items!$D$5:$D$19,MATCH(B118,Items!$A$5:$A$19,0))+SUMIFS(D$4:D117,B$4:B117,B118),""))</f>
        <v/>
      </c>
      <c r="I118" s="23" t="str">
        <f t="shared" si="7"/>
        <v/>
      </c>
      <c r="J118" s="23" t="str">
        <f t="shared" si="8"/>
        <v/>
      </c>
      <c r="K118" s="18" t="str">
        <f t="shared" si="9"/>
        <v/>
      </c>
      <c r="L118" s="16" t="str">
        <f t="shared" ca="1" si="10"/>
        <v/>
      </c>
      <c r="M118" s="25" t="str">
        <f>IF(H118="","",IF(I118&lt;=0,"Shipped",IF(L118&lt;=AGE30,"Fresh",IF(L118&lt;=AGE60,"Watch",IF(L118&lt;=AGE90,"Aging","Old")))))</f>
        <v/>
      </c>
      <c r="N118" s="16" t="str">
        <f t="shared" si="11"/>
        <v/>
      </c>
    </row>
    <row r="119" spans="1:14" x14ac:dyDescent="0.2">
      <c r="A119" s="32"/>
      <c r="B119" s="27"/>
      <c r="C119" s="15" t="str">
        <f>IF(B119="","",IFERROR(INDEX(Items!$B$5:$B$19,MATCH(B119,Items!$A$5:$A$19,0)),"Unknown code"))</f>
        <v/>
      </c>
      <c r="D119" s="29"/>
      <c r="E119" s="18" t="str">
        <f>IF(B119="","",IFERROR(INDEX(Items!$C$5:$C$19,MATCH(B119,Items!$A$5:$A$19,0)),""))</f>
        <v/>
      </c>
      <c r="F119" s="18" t="str">
        <f t="shared" si="6"/>
        <v/>
      </c>
      <c r="G119" s="27"/>
      <c r="H119" s="23" t="str">
        <f>IF(OR(A119="",B119="",D119=""),"",IFERROR(INDEX(Items!$D$5:$D$19,MATCH(B119,Items!$A$5:$A$19,0))+SUMIFS(D$4:D118,B$4:B118,B119),""))</f>
        <v/>
      </c>
      <c r="I119" s="23" t="str">
        <f t="shared" si="7"/>
        <v/>
      </c>
      <c r="J119" s="23" t="str">
        <f t="shared" si="8"/>
        <v/>
      </c>
      <c r="K119" s="18" t="str">
        <f t="shared" si="9"/>
        <v/>
      </c>
      <c r="L119" s="16" t="str">
        <f t="shared" ca="1" si="10"/>
        <v/>
      </c>
      <c r="M119" s="25" t="str">
        <f>IF(H119="","",IF(I119&lt;=0,"Shipped",IF(L119&lt;=AGE30,"Fresh",IF(L119&lt;=AGE60,"Watch",IF(L119&lt;=AGE90,"Aging","Old")))))</f>
        <v/>
      </c>
      <c r="N119" s="16" t="str">
        <f t="shared" si="11"/>
        <v/>
      </c>
    </row>
    <row r="120" spans="1:14" x14ac:dyDescent="0.2">
      <c r="A120" s="32"/>
      <c r="B120" s="27"/>
      <c r="C120" s="15" t="str">
        <f>IF(B120="","",IFERROR(INDEX(Items!$B$5:$B$19,MATCH(B120,Items!$A$5:$A$19,0)),"Unknown code"))</f>
        <v/>
      </c>
      <c r="D120" s="29"/>
      <c r="E120" s="18" t="str">
        <f>IF(B120="","",IFERROR(INDEX(Items!$C$5:$C$19,MATCH(B120,Items!$A$5:$A$19,0)),""))</f>
        <v/>
      </c>
      <c r="F120" s="18" t="str">
        <f t="shared" si="6"/>
        <v/>
      </c>
      <c r="G120" s="27"/>
      <c r="H120" s="23" t="str">
        <f>IF(OR(A120="",B120="",D120=""),"",IFERROR(INDEX(Items!$D$5:$D$19,MATCH(B120,Items!$A$5:$A$19,0))+SUMIFS(D$4:D119,B$4:B119,B120),""))</f>
        <v/>
      </c>
      <c r="I120" s="23" t="str">
        <f t="shared" si="7"/>
        <v/>
      </c>
      <c r="J120" s="23" t="str">
        <f t="shared" si="8"/>
        <v/>
      </c>
      <c r="K120" s="18" t="str">
        <f t="shared" si="9"/>
        <v/>
      </c>
      <c r="L120" s="16" t="str">
        <f t="shared" ca="1" si="10"/>
        <v/>
      </c>
      <c r="M120" s="25" t="str">
        <f>IF(H120="","",IF(I120&lt;=0,"Shipped",IF(L120&lt;=AGE30,"Fresh",IF(L120&lt;=AGE60,"Watch",IF(L120&lt;=AGE90,"Aging","Old")))))</f>
        <v/>
      </c>
      <c r="N120" s="16" t="str">
        <f t="shared" si="11"/>
        <v/>
      </c>
    </row>
    <row r="121" spans="1:14" x14ac:dyDescent="0.2">
      <c r="A121" s="32"/>
      <c r="B121" s="27"/>
      <c r="C121" s="15" t="str">
        <f>IF(B121="","",IFERROR(INDEX(Items!$B$5:$B$19,MATCH(B121,Items!$A$5:$A$19,0)),"Unknown code"))</f>
        <v/>
      </c>
      <c r="D121" s="29"/>
      <c r="E121" s="18" t="str">
        <f>IF(B121="","",IFERROR(INDEX(Items!$C$5:$C$19,MATCH(B121,Items!$A$5:$A$19,0)),""))</f>
        <v/>
      </c>
      <c r="F121" s="18" t="str">
        <f t="shared" si="6"/>
        <v/>
      </c>
      <c r="G121" s="27"/>
      <c r="H121" s="23" t="str">
        <f>IF(OR(A121="",B121="",D121=""),"",IFERROR(INDEX(Items!$D$5:$D$19,MATCH(B121,Items!$A$5:$A$19,0))+SUMIFS(D$4:D120,B$4:B120,B121),""))</f>
        <v/>
      </c>
      <c r="I121" s="23" t="str">
        <f t="shared" si="7"/>
        <v/>
      </c>
      <c r="J121" s="23" t="str">
        <f t="shared" si="8"/>
        <v/>
      </c>
      <c r="K121" s="18" t="str">
        <f t="shared" si="9"/>
        <v/>
      </c>
      <c r="L121" s="16" t="str">
        <f t="shared" ca="1" si="10"/>
        <v/>
      </c>
      <c r="M121" s="25" t="str">
        <f>IF(H121="","",IF(I121&lt;=0,"Shipped",IF(L121&lt;=AGE30,"Fresh",IF(L121&lt;=AGE60,"Watch",IF(L121&lt;=AGE90,"Aging","Old")))))</f>
        <v/>
      </c>
      <c r="N121" s="16" t="str">
        <f t="shared" si="11"/>
        <v/>
      </c>
    </row>
    <row r="122" spans="1:14" x14ac:dyDescent="0.2">
      <c r="A122" s="32"/>
      <c r="B122" s="27"/>
      <c r="C122" s="15" t="str">
        <f>IF(B122="","",IFERROR(INDEX(Items!$B$5:$B$19,MATCH(B122,Items!$A$5:$A$19,0)),"Unknown code"))</f>
        <v/>
      </c>
      <c r="D122" s="29"/>
      <c r="E122" s="18" t="str">
        <f>IF(B122="","",IFERROR(INDEX(Items!$C$5:$C$19,MATCH(B122,Items!$A$5:$A$19,0)),""))</f>
        <v/>
      </c>
      <c r="F122" s="18" t="str">
        <f t="shared" si="6"/>
        <v/>
      </c>
      <c r="G122" s="27"/>
      <c r="H122" s="23" t="str">
        <f>IF(OR(A122="",B122="",D122=""),"",IFERROR(INDEX(Items!$D$5:$D$19,MATCH(B122,Items!$A$5:$A$19,0))+SUMIFS(D$4:D121,B$4:B121,B122),""))</f>
        <v/>
      </c>
      <c r="I122" s="23" t="str">
        <f t="shared" si="7"/>
        <v/>
      </c>
      <c r="J122" s="23" t="str">
        <f t="shared" si="8"/>
        <v/>
      </c>
      <c r="K122" s="18" t="str">
        <f t="shared" si="9"/>
        <v/>
      </c>
      <c r="L122" s="16" t="str">
        <f t="shared" ca="1" si="10"/>
        <v/>
      </c>
      <c r="M122" s="25" t="str">
        <f>IF(H122="","",IF(I122&lt;=0,"Shipped",IF(L122&lt;=AGE30,"Fresh",IF(L122&lt;=AGE60,"Watch",IF(L122&lt;=AGE90,"Aging","Old")))))</f>
        <v/>
      </c>
      <c r="N122" s="16" t="str">
        <f t="shared" si="11"/>
        <v/>
      </c>
    </row>
    <row r="123" spans="1:14" x14ac:dyDescent="0.2">
      <c r="A123" s="32"/>
      <c r="B123" s="27"/>
      <c r="C123" s="15" t="str">
        <f>IF(B123="","",IFERROR(INDEX(Items!$B$5:$B$19,MATCH(B123,Items!$A$5:$A$19,0)),"Unknown code"))</f>
        <v/>
      </c>
      <c r="D123" s="29"/>
      <c r="E123" s="18" t="str">
        <f>IF(B123="","",IFERROR(INDEX(Items!$C$5:$C$19,MATCH(B123,Items!$A$5:$A$19,0)),""))</f>
        <v/>
      </c>
      <c r="F123" s="18" t="str">
        <f t="shared" si="6"/>
        <v/>
      </c>
      <c r="G123" s="27"/>
      <c r="H123" s="23" t="str">
        <f>IF(OR(A123="",B123="",D123=""),"",IFERROR(INDEX(Items!$D$5:$D$19,MATCH(B123,Items!$A$5:$A$19,0))+SUMIFS(D$4:D122,B$4:B122,B123),""))</f>
        <v/>
      </c>
      <c r="I123" s="23" t="str">
        <f t="shared" si="7"/>
        <v/>
      </c>
      <c r="J123" s="23" t="str">
        <f t="shared" si="8"/>
        <v/>
      </c>
      <c r="K123" s="18" t="str">
        <f t="shared" si="9"/>
        <v/>
      </c>
      <c r="L123" s="16" t="str">
        <f t="shared" ca="1" si="10"/>
        <v/>
      </c>
      <c r="M123" s="25" t="str">
        <f>IF(H123="","",IF(I123&lt;=0,"Shipped",IF(L123&lt;=AGE30,"Fresh",IF(L123&lt;=AGE60,"Watch",IF(L123&lt;=AGE90,"Aging","Old")))))</f>
        <v/>
      </c>
      <c r="N123" s="16" t="str">
        <f t="shared" si="11"/>
        <v/>
      </c>
    </row>
    <row r="124" spans="1:14" x14ac:dyDescent="0.2">
      <c r="A124" s="32"/>
      <c r="B124" s="27"/>
      <c r="C124" s="15" t="str">
        <f>IF(B124="","",IFERROR(INDEX(Items!$B$5:$B$19,MATCH(B124,Items!$A$5:$A$19,0)),"Unknown code"))</f>
        <v/>
      </c>
      <c r="D124" s="29"/>
      <c r="E124" s="18" t="str">
        <f>IF(B124="","",IFERROR(INDEX(Items!$C$5:$C$19,MATCH(B124,Items!$A$5:$A$19,0)),""))</f>
        <v/>
      </c>
      <c r="F124" s="18" t="str">
        <f t="shared" si="6"/>
        <v/>
      </c>
      <c r="G124" s="27"/>
      <c r="H124" s="23" t="str">
        <f>IF(OR(A124="",B124="",D124=""),"",IFERROR(INDEX(Items!$D$5:$D$19,MATCH(B124,Items!$A$5:$A$19,0))+SUMIFS(D$4:D123,B$4:B123,B124),""))</f>
        <v/>
      </c>
      <c r="I124" s="23" t="str">
        <f t="shared" si="7"/>
        <v/>
      </c>
      <c r="J124" s="23" t="str">
        <f t="shared" si="8"/>
        <v/>
      </c>
      <c r="K124" s="18" t="str">
        <f t="shared" si="9"/>
        <v/>
      </c>
      <c r="L124" s="16" t="str">
        <f t="shared" ca="1" si="10"/>
        <v/>
      </c>
      <c r="M124" s="25" t="str">
        <f>IF(H124="","",IF(I124&lt;=0,"Shipped",IF(L124&lt;=AGE30,"Fresh",IF(L124&lt;=AGE60,"Watch",IF(L124&lt;=AGE90,"Aging","Old")))))</f>
        <v/>
      </c>
      <c r="N124" s="16" t="str">
        <f t="shared" si="11"/>
        <v/>
      </c>
    </row>
    <row r="125" spans="1:14" x14ac:dyDescent="0.2">
      <c r="A125" s="32"/>
      <c r="B125" s="27"/>
      <c r="C125" s="15" t="str">
        <f>IF(B125="","",IFERROR(INDEX(Items!$B$5:$B$19,MATCH(B125,Items!$A$5:$A$19,0)),"Unknown code"))</f>
        <v/>
      </c>
      <c r="D125" s="29"/>
      <c r="E125" s="18" t="str">
        <f>IF(B125="","",IFERROR(INDEX(Items!$C$5:$C$19,MATCH(B125,Items!$A$5:$A$19,0)),""))</f>
        <v/>
      </c>
      <c r="F125" s="18" t="str">
        <f t="shared" si="6"/>
        <v/>
      </c>
      <c r="G125" s="27"/>
      <c r="H125" s="23" t="str">
        <f>IF(OR(A125="",B125="",D125=""),"",IFERROR(INDEX(Items!$D$5:$D$19,MATCH(B125,Items!$A$5:$A$19,0))+SUMIFS(D$4:D124,B$4:B124,B125),""))</f>
        <v/>
      </c>
      <c r="I125" s="23" t="str">
        <f t="shared" si="7"/>
        <v/>
      </c>
      <c r="J125" s="23" t="str">
        <f t="shared" si="8"/>
        <v/>
      </c>
      <c r="K125" s="18" t="str">
        <f t="shared" si="9"/>
        <v/>
      </c>
      <c r="L125" s="16" t="str">
        <f t="shared" ca="1" si="10"/>
        <v/>
      </c>
      <c r="M125" s="25" t="str">
        <f>IF(H125="","",IF(I125&lt;=0,"Shipped",IF(L125&lt;=AGE30,"Fresh",IF(L125&lt;=AGE60,"Watch",IF(L125&lt;=AGE90,"Aging","Old")))))</f>
        <v/>
      </c>
      <c r="N125" s="16" t="str">
        <f t="shared" si="11"/>
        <v/>
      </c>
    </row>
    <row r="126" spans="1:14" x14ac:dyDescent="0.2">
      <c r="A126" s="32"/>
      <c r="B126" s="27"/>
      <c r="C126" s="15" t="str">
        <f>IF(B126="","",IFERROR(INDEX(Items!$B$5:$B$19,MATCH(B126,Items!$A$5:$A$19,0)),"Unknown code"))</f>
        <v/>
      </c>
      <c r="D126" s="29"/>
      <c r="E126" s="18" t="str">
        <f>IF(B126="","",IFERROR(INDEX(Items!$C$5:$C$19,MATCH(B126,Items!$A$5:$A$19,0)),""))</f>
        <v/>
      </c>
      <c r="F126" s="18" t="str">
        <f t="shared" si="6"/>
        <v/>
      </c>
      <c r="G126" s="27"/>
      <c r="H126" s="23" t="str">
        <f>IF(OR(A126="",B126="",D126=""),"",IFERROR(INDEX(Items!$D$5:$D$19,MATCH(B126,Items!$A$5:$A$19,0))+SUMIFS(D$4:D125,B$4:B125,B126),""))</f>
        <v/>
      </c>
      <c r="I126" s="23" t="str">
        <f t="shared" si="7"/>
        <v/>
      </c>
      <c r="J126" s="23" t="str">
        <f t="shared" si="8"/>
        <v/>
      </c>
      <c r="K126" s="18" t="str">
        <f t="shared" si="9"/>
        <v/>
      </c>
      <c r="L126" s="16" t="str">
        <f t="shared" ca="1" si="10"/>
        <v/>
      </c>
      <c r="M126" s="25" t="str">
        <f>IF(H126="","",IF(I126&lt;=0,"Shipped",IF(L126&lt;=AGE30,"Fresh",IF(L126&lt;=AGE60,"Watch",IF(L126&lt;=AGE90,"Aging","Old")))))</f>
        <v/>
      </c>
      <c r="N126" s="16" t="str">
        <f t="shared" si="11"/>
        <v/>
      </c>
    </row>
    <row r="127" spans="1:14" x14ac:dyDescent="0.2">
      <c r="A127" s="32"/>
      <c r="B127" s="27"/>
      <c r="C127" s="15" t="str">
        <f>IF(B127="","",IFERROR(INDEX(Items!$B$5:$B$19,MATCH(B127,Items!$A$5:$A$19,0)),"Unknown code"))</f>
        <v/>
      </c>
      <c r="D127" s="29"/>
      <c r="E127" s="18" t="str">
        <f>IF(B127="","",IFERROR(INDEX(Items!$C$5:$C$19,MATCH(B127,Items!$A$5:$A$19,0)),""))</f>
        <v/>
      </c>
      <c r="F127" s="18" t="str">
        <f t="shared" si="6"/>
        <v/>
      </c>
      <c r="G127" s="27"/>
      <c r="H127" s="23" t="str">
        <f>IF(OR(A127="",B127="",D127=""),"",IFERROR(INDEX(Items!$D$5:$D$19,MATCH(B127,Items!$A$5:$A$19,0))+SUMIFS(D$4:D126,B$4:B126,B127),""))</f>
        <v/>
      </c>
      <c r="I127" s="23" t="str">
        <f t="shared" si="7"/>
        <v/>
      </c>
      <c r="J127" s="23" t="str">
        <f t="shared" si="8"/>
        <v/>
      </c>
      <c r="K127" s="18" t="str">
        <f t="shared" si="9"/>
        <v/>
      </c>
      <c r="L127" s="16" t="str">
        <f t="shared" ca="1" si="10"/>
        <v/>
      </c>
      <c r="M127" s="25" t="str">
        <f>IF(H127="","",IF(I127&lt;=0,"Shipped",IF(L127&lt;=AGE30,"Fresh",IF(L127&lt;=AGE60,"Watch",IF(L127&lt;=AGE90,"Aging","Old")))))</f>
        <v/>
      </c>
      <c r="N127" s="16" t="str">
        <f t="shared" si="11"/>
        <v/>
      </c>
    </row>
    <row r="128" spans="1:14" x14ac:dyDescent="0.2">
      <c r="A128" s="32"/>
      <c r="B128" s="27"/>
      <c r="C128" s="15" t="str">
        <f>IF(B128="","",IFERROR(INDEX(Items!$B$5:$B$19,MATCH(B128,Items!$A$5:$A$19,0)),"Unknown code"))</f>
        <v/>
      </c>
      <c r="D128" s="29"/>
      <c r="E128" s="18" t="str">
        <f>IF(B128="","",IFERROR(INDEX(Items!$C$5:$C$19,MATCH(B128,Items!$A$5:$A$19,0)),""))</f>
        <v/>
      </c>
      <c r="F128" s="18" t="str">
        <f t="shared" si="6"/>
        <v/>
      </c>
      <c r="G128" s="27"/>
      <c r="H128" s="23" t="str">
        <f>IF(OR(A128="",B128="",D128=""),"",IFERROR(INDEX(Items!$D$5:$D$19,MATCH(B128,Items!$A$5:$A$19,0))+SUMIFS(D$4:D127,B$4:B127,B128),""))</f>
        <v/>
      </c>
      <c r="I128" s="23" t="str">
        <f t="shared" si="7"/>
        <v/>
      </c>
      <c r="J128" s="23" t="str">
        <f t="shared" si="8"/>
        <v/>
      </c>
      <c r="K128" s="18" t="str">
        <f t="shared" si="9"/>
        <v/>
      </c>
      <c r="L128" s="16" t="str">
        <f t="shared" ca="1" si="10"/>
        <v/>
      </c>
      <c r="M128" s="25" t="str">
        <f>IF(H128="","",IF(I128&lt;=0,"Shipped",IF(L128&lt;=AGE30,"Fresh",IF(L128&lt;=AGE60,"Watch",IF(L128&lt;=AGE90,"Aging","Old")))))</f>
        <v/>
      </c>
      <c r="N128" s="16" t="str">
        <f t="shared" si="11"/>
        <v/>
      </c>
    </row>
    <row r="129" spans="1:14" x14ac:dyDescent="0.2">
      <c r="A129" s="32"/>
      <c r="B129" s="27"/>
      <c r="C129" s="15" t="str">
        <f>IF(B129="","",IFERROR(INDEX(Items!$B$5:$B$19,MATCH(B129,Items!$A$5:$A$19,0)),"Unknown code"))</f>
        <v/>
      </c>
      <c r="D129" s="29"/>
      <c r="E129" s="18" t="str">
        <f>IF(B129="","",IFERROR(INDEX(Items!$C$5:$C$19,MATCH(B129,Items!$A$5:$A$19,0)),""))</f>
        <v/>
      </c>
      <c r="F129" s="18" t="str">
        <f t="shared" si="6"/>
        <v/>
      </c>
      <c r="G129" s="27"/>
      <c r="H129" s="23" t="str">
        <f>IF(OR(A129="",B129="",D129=""),"",IFERROR(INDEX(Items!$D$5:$D$19,MATCH(B129,Items!$A$5:$A$19,0))+SUMIFS(D$4:D128,B$4:B128,B129),""))</f>
        <v/>
      </c>
      <c r="I129" s="23" t="str">
        <f t="shared" si="7"/>
        <v/>
      </c>
      <c r="J129" s="23" t="str">
        <f t="shared" si="8"/>
        <v/>
      </c>
      <c r="K129" s="18" t="str">
        <f t="shared" si="9"/>
        <v/>
      </c>
      <c r="L129" s="16" t="str">
        <f t="shared" ca="1" si="10"/>
        <v/>
      </c>
      <c r="M129" s="25" t="str">
        <f>IF(H129="","",IF(I129&lt;=0,"Shipped",IF(L129&lt;=AGE30,"Fresh",IF(L129&lt;=AGE60,"Watch",IF(L129&lt;=AGE90,"Aging","Old")))))</f>
        <v/>
      </c>
      <c r="N129" s="16" t="str">
        <f t="shared" si="11"/>
        <v/>
      </c>
    </row>
    <row r="130" spans="1:14" x14ac:dyDescent="0.2">
      <c r="A130" s="32"/>
      <c r="B130" s="27"/>
      <c r="C130" s="15" t="str">
        <f>IF(B130="","",IFERROR(INDEX(Items!$B$5:$B$19,MATCH(B130,Items!$A$5:$A$19,0)),"Unknown code"))</f>
        <v/>
      </c>
      <c r="D130" s="29"/>
      <c r="E130" s="18" t="str">
        <f>IF(B130="","",IFERROR(INDEX(Items!$C$5:$C$19,MATCH(B130,Items!$A$5:$A$19,0)),""))</f>
        <v/>
      </c>
      <c r="F130" s="18" t="str">
        <f t="shared" si="6"/>
        <v/>
      </c>
      <c r="G130" s="27"/>
      <c r="H130" s="23" t="str">
        <f>IF(OR(A130="",B130="",D130=""),"",IFERROR(INDEX(Items!$D$5:$D$19,MATCH(B130,Items!$A$5:$A$19,0))+SUMIFS(D$4:D129,B$4:B129,B130),""))</f>
        <v/>
      </c>
      <c r="I130" s="23" t="str">
        <f t="shared" si="7"/>
        <v/>
      </c>
      <c r="J130" s="23" t="str">
        <f t="shared" si="8"/>
        <v/>
      </c>
      <c r="K130" s="18" t="str">
        <f t="shared" si="9"/>
        <v/>
      </c>
      <c r="L130" s="16" t="str">
        <f t="shared" ca="1" si="10"/>
        <v/>
      </c>
      <c r="M130" s="25" t="str">
        <f>IF(H130="","",IF(I130&lt;=0,"Shipped",IF(L130&lt;=AGE30,"Fresh",IF(L130&lt;=AGE60,"Watch",IF(L130&lt;=AGE90,"Aging","Old")))))</f>
        <v/>
      </c>
      <c r="N130" s="16" t="str">
        <f t="shared" si="11"/>
        <v/>
      </c>
    </row>
    <row r="131" spans="1:14" x14ac:dyDescent="0.2">
      <c r="A131" s="32"/>
      <c r="B131" s="27"/>
      <c r="C131" s="15" t="str">
        <f>IF(B131="","",IFERROR(INDEX(Items!$B$5:$B$19,MATCH(B131,Items!$A$5:$A$19,0)),"Unknown code"))</f>
        <v/>
      </c>
      <c r="D131" s="29"/>
      <c r="E131" s="18" t="str">
        <f>IF(B131="","",IFERROR(INDEX(Items!$C$5:$C$19,MATCH(B131,Items!$A$5:$A$19,0)),""))</f>
        <v/>
      </c>
      <c r="F131" s="18" t="str">
        <f t="shared" si="6"/>
        <v/>
      </c>
      <c r="G131" s="27"/>
      <c r="H131" s="23" t="str">
        <f>IF(OR(A131="",B131="",D131=""),"",IFERROR(INDEX(Items!$D$5:$D$19,MATCH(B131,Items!$A$5:$A$19,0))+SUMIFS(D$4:D130,B$4:B130,B131),""))</f>
        <v/>
      </c>
      <c r="I131" s="23" t="str">
        <f t="shared" si="7"/>
        <v/>
      </c>
      <c r="J131" s="23" t="str">
        <f t="shared" si="8"/>
        <v/>
      </c>
      <c r="K131" s="18" t="str">
        <f t="shared" si="9"/>
        <v/>
      </c>
      <c r="L131" s="16" t="str">
        <f t="shared" ca="1" si="10"/>
        <v/>
      </c>
      <c r="M131" s="25" t="str">
        <f>IF(H131="","",IF(I131&lt;=0,"Shipped",IF(L131&lt;=AGE30,"Fresh",IF(L131&lt;=AGE60,"Watch",IF(L131&lt;=AGE90,"Aging","Old")))))</f>
        <v/>
      </c>
      <c r="N131" s="16" t="str">
        <f t="shared" si="11"/>
        <v/>
      </c>
    </row>
    <row r="132" spans="1:14" x14ac:dyDescent="0.2">
      <c r="A132" s="32"/>
      <c r="B132" s="27"/>
      <c r="C132" s="15" t="str">
        <f>IF(B132="","",IFERROR(INDEX(Items!$B$5:$B$19,MATCH(B132,Items!$A$5:$A$19,0)),"Unknown code"))</f>
        <v/>
      </c>
      <c r="D132" s="29"/>
      <c r="E132" s="18" t="str">
        <f>IF(B132="","",IFERROR(INDEX(Items!$C$5:$C$19,MATCH(B132,Items!$A$5:$A$19,0)),""))</f>
        <v/>
      </c>
      <c r="F132" s="18" t="str">
        <f t="shared" si="6"/>
        <v/>
      </c>
      <c r="G132" s="27"/>
      <c r="H132" s="23" t="str">
        <f>IF(OR(A132="",B132="",D132=""),"",IFERROR(INDEX(Items!$D$5:$D$19,MATCH(B132,Items!$A$5:$A$19,0))+SUMIFS(D$4:D131,B$4:B131,B132),""))</f>
        <v/>
      </c>
      <c r="I132" s="23" t="str">
        <f t="shared" si="7"/>
        <v/>
      </c>
      <c r="J132" s="23" t="str">
        <f t="shared" si="8"/>
        <v/>
      </c>
      <c r="K132" s="18" t="str">
        <f t="shared" si="9"/>
        <v/>
      </c>
      <c r="L132" s="16" t="str">
        <f t="shared" ca="1" si="10"/>
        <v/>
      </c>
      <c r="M132" s="25" t="str">
        <f>IF(H132="","",IF(I132&lt;=0,"Shipped",IF(L132&lt;=AGE30,"Fresh",IF(L132&lt;=AGE60,"Watch",IF(L132&lt;=AGE90,"Aging","Old")))))</f>
        <v/>
      </c>
      <c r="N132" s="16" t="str">
        <f t="shared" si="11"/>
        <v/>
      </c>
    </row>
    <row r="133" spans="1:14" x14ac:dyDescent="0.2">
      <c r="A133" s="32"/>
      <c r="B133" s="27"/>
      <c r="C133" s="15" t="str">
        <f>IF(B133="","",IFERROR(INDEX(Items!$B$5:$B$19,MATCH(B133,Items!$A$5:$A$19,0)),"Unknown code"))</f>
        <v/>
      </c>
      <c r="D133" s="29"/>
      <c r="E133" s="18" t="str">
        <f>IF(B133="","",IFERROR(INDEX(Items!$C$5:$C$19,MATCH(B133,Items!$A$5:$A$19,0)),""))</f>
        <v/>
      </c>
      <c r="F133" s="18" t="str">
        <f t="shared" ref="F133:F196" si="12">IF(OR(D133="",E133=""),"",D133*E133)</f>
        <v/>
      </c>
      <c r="G133" s="27"/>
      <c r="H133" s="23" t="str">
        <f>IF(OR(A133="",B133="",D133=""),"",IFERROR(INDEX(Items!$D$5:$D$19,MATCH(B133,Items!$A$5:$A$19,0))+SUMIFS(D$4:D132,B$4:B132,B133),""))</f>
        <v/>
      </c>
      <c r="I133" s="23" t="str">
        <f t="shared" ref="I133:I196" si="13">IF(H133="","",MAX(0,MIN(D133,H133+D133-TotalShipped)))</f>
        <v/>
      </c>
      <c r="J133" s="23" t="str">
        <f t="shared" ref="J133:J196" si="14">IF(H133="","",D133-I133)</f>
        <v/>
      </c>
      <c r="K133" s="18" t="str">
        <f t="shared" ref="K133:K196" si="15">IF(OR(H133="",E133=""),"",I133*E133)</f>
        <v/>
      </c>
      <c r="L133" s="16" t="str">
        <f t="shared" ref="L133:L196" ca="1" si="16">IF(H133="","",IF(I133&gt;0,TODAY()-A133,""))</f>
        <v/>
      </c>
      <c r="M133" s="25" t="str">
        <f>IF(H133="","",IF(I133&lt;=0,"Shipped",IF(L133&lt;=AGE30,"Fresh",IF(L133&lt;=AGE60,"Watch",IF(L133&lt;=AGE90,"Aging","Old")))))</f>
        <v/>
      </c>
      <c r="N133" s="16" t="str">
        <f t="shared" ref="N133:N196" si="17">IF(H133="","",J133*A133)</f>
        <v/>
      </c>
    </row>
    <row r="134" spans="1:14" x14ac:dyDescent="0.2">
      <c r="A134" s="32"/>
      <c r="B134" s="27"/>
      <c r="C134" s="15" t="str">
        <f>IF(B134="","",IFERROR(INDEX(Items!$B$5:$B$19,MATCH(B134,Items!$A$5:$A$19,0)),"Unknown code"))</f>
        <v/>
      </c>
      <c r="D134" s="29"/>
      <c r="E134" s="18" t="str">
        <f>IF(B134="","",IFERROR(INDEX(Items!$C$5:$C$19,MATCH(B134,Items!$A$5:$A$19,0)),""))</f>
        <v/>
      </c>
      <c r="F134" s="18" t="str">
        <f t="shared" si="12"/>
        <v/>
      </c>
      <c r="G134" s="27"/>
      <c r="H134" s="23" t="str">
        <f>IF(OR(A134="",B134="",D134=""),"",IFERROR(INDEX(Items!$D$5:$D$19,MATCH(B134,Items!$A$5:$A$19,0))+SUMIFS(D$4:D133,B$4:B133,B134),""))</f>
        <v/>
      </c>
      <c r="I134" s="23" t="str">
        <f t="shared" si="13"/>
        <v/>
      </c>
      <c r="J134" s="23" t="str">
        <f t="shared" si="14"/>
        <v/>
      </c>
      <c r="K134" s="18" t="str">
        <f t="shared" si="15"/>
        <v/>
      </c>
      <c r="L134" s="16" t="str">
        <f t="shared" ca="1" si="16"/>
        <v/>
      </c>
      <c r="M134" s="25" t="str">
        <f>IF(H134="","",IF(I134&lt;=0,"Shipped",IF(L134&lt;=AGE30,"Fresh",IF(L134&lt;=AGE60,"Watch",IF(L134&lt;=AGE90,"Aging","Old")))))</f>
        <v/>
      </c>
      <c r="N134" s="16" t="str">
        <f t="shared" si="17"/>
        <v/>
      </c>
    </row>
    <row r="135" spans="1:14" x14ac:dyDescent="0.2">
      <c r="A135" s="32"/>
      <c r="B135" s="27"/>
      <c r="C135" s="15" t="str">
        <f>IF(B135="","",IFERROR(INDEX(Items!$B$5:$B$19,MATCH(B135,Items!$A$5:$A$19,0)),"Unknown code"))</f>
        <v/>
      </c>
      <c r="D135" s="29"/>
      <c r="E135" s="18" t="str">
        <f>IF(B135="","",IFERROR(INDEX(Items!$C$5:$C$19,MATCH(B135,Items!$A$5:$A$19,0)),""))</f>
        <v/>
      </c>
      <c r="F135" s="18" t="str">
        <f t="shared" si="12"/>
        <v/>
      </c>
      <c r="G135" s="27"/>
      <c r="H135" s="23" t="str">
        <f>IF(OR(A135="",B135="",D135=""),"",IFERROR(INDEX(Items!$D$5:$D$19,MATCH(B135,Items!$A$5:$A$19,0))+SUMIFS(D$4:D134,B$4:B134,B135),""))</f>
        <v/>
      </c>
      <c r="I135" s="23" t="str">
        <f t="shared" si="13"/>
        <v/>
      </c>
      <c r="J135" s="23" t="str">
        <f t="shared" si="14"/>
        <v/>
      </c>
      <c r="K135" s="18" t="str">
        <f t="shared" si="15"/>
        <v/>
      </c>
      <c r="L135" s="16" t="str">
        <f t="shared" ca="1" si="16"/>
        <v/>
      </c>
      <c r="M135" s="25" t="str">
        <f>IF(H135="","",IF(I135&lt;=0,"Shipped",IF(L135&lt;=AGE30,"Fresh",IF(L135&lt;=AGE60,"Watch",IF(L135&lt;=AGE90,"Aging","Old")))))</f>
        <v/>
      </c>
      <c r="N135" s="16" t="str">
        <f t="shared" si="17"/>
        <v/>
      </c>
    </row>
    <row r="136" spans="1:14" x14ac:dyDescent="0.2">
      <c r="A136" s="32"/>
      <c r="B136" s="27"/>
      <c r="C136" s="15" t="str">
        <f>IF(B136="","",IFERROR(INDEX(Items!$B$5:$B$19,MATCH(B136,Items!$A$5:$A$19,0)),"Unknown code"))</f>
        <v/>
      </c>
      <c r="D136" s="29"/>
      <c r="E136" s="18" t="str">
        <f>IF(B136="","",IFERROR(INDEX(Items!$C$5:$C$19,MATCH(B136,Items!$A$5:$A$19,0)),""))</f>
        <v/>
      </c>
      <c r="F136" s="18" t="str">
        <f t="shared" si="12"/>
        <v/>
      </c>
      <c r="G136" s="27"/>
      <c r="H136" s="23" t="str">
        <f>IF(OR(A136="",B136="",D136=""),"",IFERROR(INDEX(Items!$D$5:$D$19,MATCH(B136,Items!$A$5:$A$19,0))+SUMIFS(D$4:D135,B$4:B135,B136),""))</f>
        <v/>
      </c>
      <c r="I136" s="23" t="str">
        <f t="shared" si="13"/>
        <v/>
      </c>
      <c r="J136" s="23" t="str">
        <f t="shared" si="14"/>
        <v/>
      </c>
      <c r="K136" s="18" t="str">
        <f t="shared" si="15"/>
        <v/>
      </c>
      <c r="L136" s="16" t="str">
        <f t="shared" ca="1" si="16"/>
        <v/>
      </c>
      <c r="M136" s="25" t="str">
        <f>IF(H136="","",IF(I136&lt;=0,"Shipped",IF(L136&lt;=AGE30,"Fresh",IF(L136&lt;=AGE60,"Watch",IF(L136&lt;=AGE90,"Aging","Old")))))</f>
        <v/>
      </c>
      <c r="N136" s="16" t="str">
        <f t="shared" si="17"/>
        <v/>
      </c>
    </row>
    <row r="137" spans="1:14" x14ac:dyDescent="0.2">
      <c r="A137" s="32"/>
      <c r="B137" s="27"/>
      <c r="C137" s="15" t="str">
        <f>IF(B137="","",IFERROR(INDEX(Items!$B$5:$B$19,MATCH(B137,Items!$A$5:$A$19,0)),"Unknown code"))</f>
        <v/>
      </c>
      <c r="D137" s="29"/>
      <c r="E137" s="18" t="str">
        <f>IF(B137="","",IFERROR(INDEX(Items!$C$5:$C$19,MATCH(B137,Items!$A$5:$A$19,0)),""))</f>
        <v/>
      </c>
      <c r="F137" s="18" t="str">
        <f t="shared" si="12"/>
        <v/>
      </c>
      <c r="G137" s="27"/>
      <c r="H137" s="23" t="str">
        <f>IF(OR(A137="",B137="",D137=""),"",IFERROR(INDEX(Items!$D$5:$D$19,MATCH(B137,Items!$A$5:$A$19,0))+SUMIFS(D$4:D136,B$4:B136,B137),""))</f>
        <v/>
      </c>
      <c r="I137" s="23" t="str">
        <f t="shared" si="13"/>
        <v/>
      </c>
      <c r="J137" s="23" t="str">
        <f t="shared" si="14"/>
        <v/>
      </c>
      <c r="K137" s="18" t="str">
        <f t="shared" si="15"/>
        <v/>
      </c>
      <c r="L137" s="16" t="str">
        <f t="shared" ca="1" si="16"/>
        <v/>
      </c>
      <c r="M137" s="25" t="str">
        <f>IF(H137="","",IF(I137&lt;=0,"Shipped",IF(L137&lt;=AGE30,"Fresh",IF(L137&lt;=AGE60,"Watch",IF(L137&lt;=AGE90,"Aging","Old")))))</f>
        <v/>
      </c>
      <c r="N137" s="16" t="str">
        <f t="shared" si="17"/>
        <v/>
      </c>
    </row>
    <row r="138" spans="1:14" x14ac:dyDescent="0.2">
      <c r="A138" s="32"/>
      <c r="B138" s="27"/>
      <c r="C138" s="15" t="str">
        <f>IF(B138="","",IFERROR(INDEX(Items!$B$5:$B$19,MATCH(B138,Items!$A$5:$A$19,0)),"Unknown code"))</f>
        <v/>
      </c>
      <c r="D138" s="29"/>
      <c r="E138" s="18" t="str">
        <f>IF(B138="","",IFERROR(INDEX(Items!$C$5:$C$19,MATCH(B138,Items!$A$5:$A$19,0)),""))</f>
        <v/>
      </c>
      <c r="F138" s="18" t="str">
        <f t="shared" si="12"/>
        <v/>
      </c>
      <c r="G138" s="27"/>
      <c r="H138" s="23" t="str">
        <f>IF(OR(A138="",B138="",D138=""),"",IFERROR(INDEX(Items!$D$5:$D$19,MATCH(B138,Items!$A$5:$A$19,0))+SUMIFS(D$4:D137,B$4:B137,B138),""))</f>
        <v/>
      </c>
      <c r="I138" s="23" t="str">
        <f t="shared" si="13"/>
        <v/>
      </c>
      <c r="J138" s="23" t="str">
        <f t="shared" si="14"/>
        <v/>
      </c>
      <c r="K138" s="18" t="str">
        <f t="shared" si="15"/>
        <v/>
      </c>
      <c r="L138" s="16" t="str">
        <f t="shared" ca="1" si="16"/>
        <v/>
      </c>
      <c r="M138" s="25" t="str">
        <f>IF(H138="","",IF(I138&lt;=0,"Shipped",IF(L138&lt;=AGE30,"Fresh",IF(L138&lt;=AGE60,"Watch",IF(L138&lt;=AGE90,"Aging","Old")))))</f>
        <v/>
      </c>
      <c r="N138" s="16" t="str">
        <f t="shared" si="17"/>
        <v/>
      </c>
    </row>
    <row r="139" spans="1:14" x14ac:dyDescent="0.2">
      <c r="A139" s="32"/>
      <c r="B139" s="27"/>
      <c r="C139" s="15" t="str">
        <f>IF(B139="","",IFERROR(INDEX(Items!$B$5:$B$19,MATCH(B139,Items!$A$5:$A$19,0)),"Unknown code"))</f>
        <v/>
      </c>
      <c r="D139" s="29"/>
      <c r="E139" s="18" t="str">
        <f>IF(B139="","",IFERROR(INDEX(Items!$C$5:$C$19,MATCH(B139,Items!$A$5:$A$19,0)),""))</f>
        <v/>
      </c>
      <c r="F139" s="18" t="str">
        <f t="shared" si="12"/>
        <v/>
      </c>
      <c r="G139" s="27"/>
      <c r="H139" s="23" t="str">
        <f>IF(OR(A139="",B139="",D139=""),"",IFERROR(INDEX(Items!$D$5:$D$19,MATCH(B139,Items!$A$5:$A$19,0))+SUMIFS(D$4:D138,B$4:B138,B139),""))</f>
        <v/>
      </c>
      <c r="I139" s="23" t="str">
        <f t="shared" si="13"/>
        <v/>
      </c>
      <c r="J139" s="23" t="str">
        <f t="shared" si="14"/>
        <v/>
      </c>
      <c r="K139" s="18" t="str">
        <f t="shared" si="15"/>
        <v/>
      </c>
      <c r="L139" s="16" t="str">
        <f t="shared" ca="1" si="16"/>
        <v/>
      </c>
      <c r="M139" s="25" t="str">
        <f>IF(H139="","",IF(I139&lt;=0,"Shipped",IF(L139&lt;=AGE30,"Fresh",IF(L139&lt;=AGE60,"Watch",IF(L139&lt;=AGE90,"Aging","Old")))))</f>
        <v/>
      </c>
      <c r="N139" s="16" t="str">
        <f t="shared" si="17"/>
        <v/>
      </c>
    </row>
    <row r="140" spans="1:14" x14ac:dyDescent="0.2">
      <c r="A140" s="32"/>
      <c r="B140" s="27"/>
      <c r="C140" s="15" t="str">
        <f>IF(B140="","",IFERROR(INDEX(Items!$B$5:$B$19,MATCH(B140,Items!$A$5:$A$19,0)),"Unknown code"))</f>
        <v/>
      </c>
      <c r="D140" s="29"/>
      <c r="E140" s="18" t="str">
        <f>IF(B140="","",IFERROR(INDEX(Items!$C$5:$C$19,MATCH(B140,Items!$A$5:$A$19,0)),""))</f>
        <v/>
      </c>
      <c r="F140" s="18" t="str">
        <f t="shared" si="12"/>
        <v/>
      </c>
      <c r="G140" s="27"/>
      <c r="H140" s="23" t="str">
        <f>IF(OR(A140="",B140="",D140=""),"",IFERROR(INDEX(Items!$D$5:$D$19,MATCH(B140,Items!$A$5:$A$19,0))+SUMIFS(D$4:D139,B$4:B139,B140),""))</f>
        <v/>
      </c>
      <c r="I140" s="23" t="str">
        <f t="shared" si="13"/>
        <v/>
      </c>
      <c r="J140" s="23" t="str">
        <f t="shared" si="14"/>
        <v/>
      </c>
      <c r="K140" s="18" t="str">
        <f t="shared" si="15"/>
        <v/>
      </c>
      <c r="L140" s="16" t="str">
        <f t="shared" ca="1" si="16"/>
        <v/>
      </c>
      <c r="M140" s="25" t="str">
        <f>IF(H140="","",IF(I140&lt;=0,"Shipped",IF(L140&lt;=AGE30,"Fresh",IF(L140&lt;=AGE60,"Watch",IF(L140&lt;=AGE90,"Aging","Old")))))</f>
        <v/>
      </c>
      <c r="N140" s="16" t="str">
        <f t="shared" si="17"/>
        <v/>
      </c>
    </row>
    <row r="141" spans="1:14" x14ac:dyDescent="0.2">
      <c r="A141" s="32"/>
      <c r="B141" s="27"/>
      <c r="C141" s="15" t="str">
        <f>IF(B141="","",IFERROR(INDEX(Items!$B$5:$B$19,MATCH(B141,Items!$A$5:$A$19,0)),"Unknown code"))</f>
        <v/>
      </c>
      <c r="D141" s="29"/>
      <c r="E141" s="18" t="str">
        <f>IF(B141="","",IFERROR(INDEX(Items!$C$5:$C$19,MATCH(B141,Items!$A$5:$A$19,0)),""))</f>
        <v/>
      </c>
      <c r="F141" s="18" t="str">
        <f t="shared" si="12"/>
        <v/>
      </c>
      <c r="G141" s="27"/>
      <c r="H141" s="23" t="str">
        <f>IF(OR(A141="",B141="",D141=""),"",IFERROR(INDEX(Items!$D$5:$D$19,MATCH(B141,Items!$A$5:$A$19,0))+SUMIFS(D$4:D140,B$4:B140,B141),""))</f>
        <v/>
      </c>
      <c r="I141" s="23" t="str">
        <f t="shared" si="13"/>
        <v/>
      </c>
      <c r="J141" s="23" t="str">
        <f t="shared" si="14"/>
        <v/>
      </c>
      <c r="K141" s="18" t="str">
        <f t="shared" si="15"/>
        <v/>
      </c>
      <c r="L141" s="16" t="str">
        <f t="shared" ca="1" si="16"/>
        <v/>
      </c>
      <c r="M141" s="25" t="str">
        <f>IF(H141="","",IF(I141&lt;=0,"Shipped",IF(L141&lt;=AGE30,"Fresh",IF(L141&lt;=AGE60,"Watch",IF(L141&lt;=AGE90,"Aging","Old")))))</f>
        <v/>
      </c>
      <c r="N141" s="16" t="str">
        <f t="shared" si="17"/>
        <v/>
      </c>
    </row>
    <row r="142" spans="1:14" x14ac:dyDescent="0.2">
      <c r="A142" s="32"/>
      <c r="B142" s="27"/>
      <c r="C142" s="15" t="str">
        <f>IF(B142="","",IFERROR(INDEX(Items!$B$5:$B$19,MATCH(B142,Items!$A$5:$A$19,0)),"Unknown code"))</f>
        <v/>
      </c>
      <c r="D142" s="29"/>
      <c r="E142" s="18" t="str">
        <f>IF(B142="","",IFERROR(INDEX(Items!$C$5:$C$19,MATCH(B142,Items!$A$5:$A$19,0)),""))</f>
        <v/>
      </c>
      <c r="F142" s="18" t="str">
        <f t="shared" si="12"/>
        <v/>
      </c>
      <c r="G142" s="27"/>
      <c r="H142" s="23" t="str">
        <f>IF(OR(A142="",B142="",D142=""),"",IFERROR(INDEX(Items!$D$5:$D$19,MATCH(B142,Items!$A$5:$A$19,0))+SUMIFS(D$4:D141,B$4:B141,B142),""))</f>
        <v/>
      </c>
      <c r="I142" s="23" t="str">
        <f t="shared" si="13"/>
        <v/>
      </c>
      <c r="J142" s="23" t="str">
        <f t="shared" si="14"/>
        <v/>
      </c>
      <c r="K142" s="18" t="str">
        <f t="shared" si="15"/>
        <v/>
      </c>
      <c r="L142" s="16" t="str">
        <f t="shared" ca="1" si="16"/>
        <v/>
      </c>
      <c r="M142" s="25" t="str">
        <f>IF(H142="","",IF(I142&lt;=0,"Shipped",IF(L142&lt;=AGE30,"Fresh",IF(L142&lt;=AGE60,"Watch",IF(L142&lt;=AGE90,"Aging","Old")))))</f>
        <v/>
      </c>
      <c r="N142" s="16" t="str">
        <f t="shared" si="17"/>
        <v/>
      </c>
    </row>
    <row r="143" spans="1:14" x14ac:dyDescent="0.2">
      <c r="A143" s="32"/>
      <c r="B143" s="27"/>
      <c r="C143" s="15" t="str">
        <f>IF(B143="","",IFERROR(INDEX(Items!$B$5:$B$19,MATCH(B143,Items!$A$5:$A$19,0)),"Unknown code"))</f>
        <v/>
      </c>
      <c r="D143" s="29"/>
      <c r="E143" s="18" t="str">
        <f>IF(B143="","",IFERROR(INDEX(Items!$C$5:$C$19,MATCH(B143,Items!$A$5:$A$19,0)),""))</f>
        <v/>
      </c>
      <c r="F143" s="18" t="str">
        <f t="shared" si="12"/>
        <v/>
      </c>
      <c r="G143" s="27"/>
      <c r="H143" s="23" t="str">
        <f>IF(OR(A143="",B143="",D143=""),"",IFERROR(INDEX(Items!$D$5:$D$19,MATCH(B143,Items!$A$5:$A$19,0))+SUMIFS(D$4:D142,B$4:B142,B143),""))</f>
        <v/>
      </c>
      <c r="I143" s="23" t="str">
        <f t="shared" si="13"/>
        <v/>
      </c>
      <c r="J143" s="23" t="str">
        <f t="shared" si="14"/>
        <v/>
      </c>
      <c r="K143" s="18" t="str">
        <f t="shared" si="15"/>
        <v/>
      </c>
      <c r="L143" s="16" t="str">
        <f t="shared" ca="1" si="16"/>
        <v/>
      </c>
      <c r="M143" s="25" t="str">
        <f>IF(H143="","",IF(I143&lt;=0,"Shipped",IF(L143&lt;=AGE30,"Fresh",IF(L143&lt;=AGE60,"Watch",IF(L143&lt;=AGE90,"Aging","Old")))))</f>
        <v/>
      </c>
      <c r="N143" s="16" t="str">
        <f t="shared" si="17"/>
        <v/>
      </c>
    </row>
    <row r="144" spans="1:14" x14ac:dyDescent="0.2">
      <c r="A144" s="32"/>
      <c r="B144" s="27"/>
      <c r="C144" s="15" t="str">
        <f>IF(B144="","",IFERROR(INDEX(Items!$B$5:$B$19,MATCH(B144,Items!$A$5:$A$19,0)),"Unknown code"))</f>
        <v/>
      </c>
      <c r="D144" s="29"/>
      <c r="E144" s="18" t="str">
        <f>IF(B144="","",IFERROR(INDEX(Items!$C$5:$C$19,MATCH(B144,Items!$A$5:$A$19,0)),""))</f>
        <v/>
      </c>
      <c r="F144" s="18" t="str">
        <f t="shared" si="12"/>
        <v/>
      </c>
      <c r="G144" s="27"/>
      <c r="H144" s="23" t="str">
        <f>IF(OR(A144="",B144="",D144=""),"",IFERROR(INDEX(Items!$D$5:$D$19,MATCH(B144,Items!$A$5:$A$19,0))+SUMIFS(D$4:D143,B$4:B143,B144),""))</f>
        <v/>
      </c>
      <c r="I144" s="23" t="str">
        <f t="shared" si="13"/>
        <v/>
      </c>
      <c r="J144" s="23" t="str">
        <f t="shared" si="14"/>
        <v/>
      </c>
      <c r="K144" s="18" t="str">
        <f t="shared" si="15"/>
        <v/>
      </c>
      <c r="L144" s="16" t="str">
        <f t="shared" ca="1" si="16"/>
        <v/>
      </c>
      <c r="M144" s="25" t="str">
        <f>IF(H144="","",IF(I144&lt;=0,"Shipped",IF(L144&lt;=AGE30,"Fresh",IF(L144&lt;=AGE60,"Watch",IF(L144&lt;=AGE90,"Aging","Old")))))</f>
        <v/>
      </c>
      <c r="N144" s="16" t="str">
        <f t="shared" si="17"/>
        <v/>
      </c>
    </row>
    <row r="145" spans="1:14" x14ac:dyDescent="0.2">
      <c r="A145" s="32"/>
      <c r="B145" s="27"/>
      <c r="C145" s="15" t="str">
        <f>IF(B145="","",IFERROR(INDEX(Items!$B$5:$B$19,MATCH(B145,Items!$A$5:$A$19,0)),"Unknown code"))</f>
        <v/>
      </c>
      <c r="D145" s="29"/>
      <c r="E145" s="18" t="str">
        <f>IF(B145="","",IFERROR(INDEX(Items!$C$5:$C$19,MATCH(B145,Items!$A$5:$A$19,0)),""))</f>
        <v/>
      </c>
      <c r="F145" s="18" t="str">
        <f t="shared" si="12"/>
        <v/>
      </c>
      <c r="G145" s="27"/>
      <c r="H145" s="23" t="str">
        <f>IF(OR(A145="",B145="",D145=""),"",IFERROR(INDEX(Items!$D$5:$D$19,MATCH(B145,Items!$A$5:$A$19,0))+SUMIFS(D$4:D144,B$4:B144,B145),""))</f>
        <v/>
      </c>
      <c r="I145" s="23" t="str">
        <f t="shared" si="13"/>
        <v/>
      </c>
      <c r="J145" s="23" t="str">
        <f t="shared" si="14"/>
        <v/>
      </c>
      <c r="K145" s="18" t="str">
        <f t="shared" si="15"/>
        <v/>
      </c>
      <c r="L145" s="16" t="str">
        <f t="shared" ca="1" si="16"/>
        <v/>
      </c>
      <c r="M145" s="25" t="str">
        <f>IF(H145="","",IF(I145&lt;=0,"Shipped",IF(L145&lt;=AGE30,"Fresh",IF(L145&lt;=AGE60,"Watch",IF(L145&lt;=AGE90,"Aging","Old")))))</f>
        <v/>
      </c>
      <c r="N145" s="16" t="str">
        <f t="shared" si="17"/>
        <v/>
      </c>
    </row>
    <row r="146" spans="1:14" x14ac:dyDescent="0.2">
      <c r="A146" s="32"/>
      <c r="B146" s="27"/>
      <c r="C146" s="15" t="str">
        <f>IF(B146="","",IFERROR(INDEX(Items!$B$5:$B$19,MATCH(B146,Items!$A$5:$A$19,0)),"Unknown code"))</f>
        <v/>
      </c>
      <c r="D146" s="29"/>
      <c r="E146" s="18" t="str">
        <f>IF(B146="","",IFERROR(INDEX(Items!$C$5:$C$19,MATCH(B146,Items!$A$5:$A$19,0)),""))</f>
        <v/>
      </c>
      <c r="F146" s="18" t="str">
        <f t="shared" si="12"/>
        <v/>
      </c>
      <c r="G146" s="27"/>
      <c r="H146" s="23" t="str">
        <f>IF(OR(A146="",B146="",D146=""),"",IFERROR(INDEX(Items!$D$5:$D$19,MATCH(B146,Items!$A$5:$A$19,0))+SUMIFS(D$4:D145,B$4:B145,B146),""))</f>
        <v/>
      </c>
      <c r="I146" s="23" t="str">
        <f t="shared" si="13"/>
        <v/>
      </c>
      <c r="J146" s="23" t="str">
        <f t="shared" si="14"/>
        <v/>
      </c>
      <c r="K146" s="18" t="str">
        <f t="shared" si="15"/>
        <v/>
      </c>
      <c r="L146" s="16" t="str">
        <f t="shared" ca="1" si="16"/>
        <v/>
      </c>
      <c r="M146" s="25" t="str">
        <f>IF(H146="","",IF(I146&lt;=0,"Shipped",IF(L146&lt;=AGE30,"Fresh",IF(L146&lt;=AGE60,"Watch",IF(L146&lt;=AGE90,"Aging","Old")))))</f>
        <v/>
      </c>
      <c r="N146" s="16" t="str">
        <f t="shared" si="17"/>
        <v/>
      </c>
    </row>
    <row r="147" spans="1:14" x14ac:dyDescent="0.2">
      <c r="A147" s="32"/>
      <c r="B147" s="27"/>
      <c r="C147" s="15" t="str">
        <f>IF(B147="","",IFERROR(INDEX(Items!$B$5:$B$19,MATCH(B147,Items!$A$5:$A$19,0)),"Unknown code"))</f>
        <v/>
      </c>
      <c r="D147" s="29"/>
      <c r="E147" s="18" t="str">
        <f>IF(B147="","",IFERROR(INDEX(Items!$C$5:$C$19,MATCH(B147,Items!$A$5:$A$19,0)),""))</f>
        <v/>
      </c>
      <c r="F147" s="18" t="str">
        <f t="shared" si="12"/>
        <v/>
      </c>
      <c r="G147" s="27"/>
      <c r="H147" s="23" t="str">
        <f>IF(OR(A147="",B147="",D147=""),"",IFERROR(INDEX(Items!$D$5:$D$19,MATCH(B147,Items!$A$5:$A$19,0))+SUMIFS(D$4:D146,B$4:B146,B147),""))</f>
        <v/>
      </c>
      <c r="I147" s="23" t="str">
        <f t="shared" si="13"/>
        <v/>
      </c>
      <c r="J147" s="23" t="str">
        <f t="shared" si="14"/>
        <v/>
      </c>
      <c r="K147" s="18" t="str">
        <f t="shared" si="15"/>
        <v/>
      </c>
      <c r="L147" s="16" t="str">
        <f t="shared" ca="1" si="16"/>
        <v/>
      </c>
      <c r="M147" s="25" t="str">
        <f>IF(H147="","",IF(I147&lt;=0,"Shipped",IF(L147&lt;=AGE30,"Fresh",IF(L147&lt;=AGE60,"Watch",IF(L147&lt;=AGE90,"Aging","Old")))))</f>
        <v/>
      </c>
      <c r="N147" s="16" t="str">
        <f t="shared" si="17"/>
        <v/>
      </c>
    </row>
    <row r="148" spans="1:14" x14ac:dyDescent="0.2">
      <c r="A148" s="32"/>
      <c r="B148" s="27"/>
      <c r="C148" s="15" t="str">
        <f>IF(B148="","",IFERROR(INDEX(Items!$B$5:$B$19,MATCH(B148,Items!$A$5:$A$19,0)),"Unknown code"))</f>
        <v/>
      </c>
      <c r="D148" s="29"/>
      <c r="E148" s="18" t="str">
        <f>IF(B148="","",IFERROR(INDEX(Items!$C$5:$C$19,MATCH(B148,Items!$A$5:$A$19,0)),""))</f>
        <v/>
      </c>
      <c r="F148" s="18" t="str">
        <f t="shared" si="12"/>
        <v/>
      </c>
      <c r="G148" s="27"/>
      <c r="H148" s="23" t="str">
        <f>IF(OR(A148="",B148="",D148=""),"",IFERROR(INDEX(Items!$D$5:$D$19,MATCH(B148,Items!$A$5:$A$19,0))+SUMIFS(D$4:D147,B$4:B147,B148),""))</f>
        <v/>
      </c>
      <c r="I148" s="23" t="str">
        <f t="shared" si="13"/>
        <v/>
      </c>
      <c r="J148" s="23" t="str">
        <f t="shared" si="14"/>
        <v/>
      </c>
      <c r="K148" s="18" t="str">
        <f t="shared" si="15"/>
        <v/>
      </c>
      <c r="L148" s="16" t="str">
        <f t="shared" ca="1" si="16"/>
        <v/>
      </c>
      <c r="M148" s="25" t="str">
        <f>IF(H148="","",IF(I148&lt;=0,"Shipped",IF(L148&lt;=AGE30,"Fresh",IF(L148&lt;=AGE60,"Watch",IF(L148&lt;=AGE90,"Aging","Old")))))</f>
        <v/>
      </c>
      <c r="N148" s="16" t="str">
        <f t="shared" si="17"/>
        <v/>
      </c>
    </row>
    <row r="149" spans="1:14" x14ac:dyDescent="0.2">
      <c r="A149" s="32"/>
      <c r="B149" s="27"/>
      <c r="C149" s="15" t="str">
        <f>IF(B149="","",IFERROR(INDEX(Items!$B$5:$B$19,MATCH(B149,Items!$A$5:$A$19,0)),"Unknown code"))</f>
        <v/>
      </c>
      <c r="D149" s="29"/>
      <c r="E149" s="18" t="str">
        <f>IF(B149="","",IFERROR(INDEX(Items!$C$5:$C$19,MATCH(B149,Items!$A$5:$A$19,0)),""))</f>
        <v/>
      </c>
      <c r="F149" s="18" t="str">
        <f t="shared" si="12"/>
        <v/>
      </c>
      <c r="G149" s="27"/>
      <c r="H149" s="23" t="str">
        <f>IF(OR(A149="",B149="",D149=""),"",IFERROR(INDEX(Items!$D$5:$D$19,MATCH(B149,Items!$A$5:$A$19,0))+SUMIFS(D$4:D148,B$4:B148,B149),""))</f>
        <v/>
      </c>
      <c r="I149" s="23" t="str">
        <f t="shared" si="13"/>
        <v/>
      </c>
      <c r="J149" s="23" t="str">
        <f t="shared" si="14"/>
        <v/>
      </c>
      <c r="K149" s="18" t="str">
        <f t="shared" si="15"/>
        <v/>
      </c>
      <c r="L149" s="16" t="str">
        <f t="shared" ca="1" si="16"/>
        <v/>
      </c>
      <c r="M149" s="25" t="str">
        <f>IF(H149="","",IF(I149&lt;=0,"Shipped",IF(L149&lt;=AGE30,"Fresh",IF(L149&lt;=AGE60,"Watch",IF(L149&lt;=AGE90,"Aging","Old")))))</f>
        <v/>
      </c>
      <c r="N149" s="16" t="str">
        <f t="shared" si="17"/>
        <v/>
      </c>
    </row>
    <row r="150" spans="1:14" x14ac:dyDescent="0.2">
      <c r="A150" s="32"/>
      <c r="B150" s="27"/>
      <c r="C150" s="15" t="str">
        <f>IF(B150="","",IFERROR(INDEX(Items!$B$5:$B$19,MATCH(B150,Items!$A$5:$A$19,0)),"Unknown code"))</f>
        <v/>
      </c>
      <c r="D150" s="29"/>
      <c r="E150" s="18" t="str">
        <f>IF(B150="","",IFERROR(INDEX(Items!$C$5:$C$19,MATCH(B150,Items!$A$5:$A$19,0)),""))</f>
        <v/>
      </c>
      <c r="F150" s="18" t="str">
        <f t="shared" si="12"/>
        <v/>
      </c>
      <c r="G150" s="27"/>
      <c r="H150" s="23" t="str">
        <f>IF(OR(A150="",B150="",D150=""),"",IFERROR(INDEX(Items!$D$5:$D$19,MATCH(B150,Items!$A$5:$A$19,0))+SUMIFS(D$4:D149,B$4:B149,B150),""))</f>
        <v/>
      </c>
      <c r="I150" s="23" t="str">
        <f t="shared" si="13"/>
        <v/>
      </c>
      <c r="J150" s="23" t="str">
        <f t="shared" si="14"/>
        <v/>
      </c>
      <c r="K150" s="18" t="str">
        <f t="shared" si="15"/>
        <v/>
      </c>
      <c r="L150" s="16" t="str">
        <f t="shared" ca="1" si="16"/>
        <v/>
      </c>
      <c r="M150" s="25" t="str">
        <f>IF(H150="","",IF(I150&lt;=0,"Shipped",IF(L150&lt;=AGE30,"Fresh",IF(L150&lt;=AGE60,"Watch",IF(L150&lt;=AGE90,"Aging","Old")))))</f>
        <v/>
      </c>
      <c r="N150" s="16" t="str">
        <f t="shared" si="17"/>
        <v/>
      </c>
    </row>
    <row r="151" spans="1:14" x14ac:dyDescent="0.2">
      <c r="A151" s="32"/>
      <c r="B151" s="27"/>
      <c r="C151" s="15" t="str">
        <f>IF(B151="","",IFERROR(INDEX(Items!$B$5:$B$19,MATCH(B151,Items!$A$5:$A$19,0)),"Unknown code"))</f>
        <v/>
      </c>
      <c r="D151" s="29"/>
      <c r="E151" s="18" t="str">
        <f>IF(B151="","",IFERROR(INDEX(Items!$C$5:$C$19,MATCH(B151,Items!$A$5:$A$19,0)),""))</f>
        <v/>
      </c>
      <c r="F151" s="18" t="str">
        <f t="shared" si="12"/>
        <v/>
      </c>
      <c r="G151" s="27"/>
      <c r="H151" s="23" t="str">
        <f>IF(OR(A151="",B151="",D151=""),"",IFERROR(INDEX(Items!$D$5:$D$19,MATCH(B151,Items!$A$5:$A$19,0))+SUMIFS(D$4:D150,B$4:B150,B151),""))</f>
        <v/>
      </c>
      <c r="I151" s="23" t="str">
        <f t="shared" si="13"/>
        <v/>
      </c>
      <c r="J151" s="23" t="str">
        <f t="shared" si="14"/>
        <v/>
      </c>
      <c r="K151" s="18" t="str">
        <f t="shared" si="15"/>
        <v/>
      </c>
      <c r="L151" s="16" t="str">
        <f t="shared" ca="1" si="16"/>
        <v/>
      </c>
      <c r="M151" s="25" t="str">
        <f>IF(H151="","",IF(I151&lt;=0,"Shipped",IF(L151&lt;=AGE30,"Fresh",IF(L151&lt;=AGE60,"Watch",IF(L151&lt;=AGE90,"Aging","Old")))))</f>
        <v/>
      </c>
      <c r="N151" s="16" t="str">
        <f t="shared" si="17"/>
        <v/>
      </c>
    </row>
    <row r="152" spans="1:14" x14ac:dyDescent="0.2">
      <c r="A152" s="32"/>
      <c r="B152" s="27"/>
      <c r="C152" s="15" t="str">
        <f>IF(B152="","",IFERROR(INDEX(Items!$B$5:$B$19,MATCH(B152,Items!$A$5:$A$19,0)),"Unknown code"))</f>
        <v/>
      </c>
      <c r="D152" s="29"/>
      <c r="E152" s="18" t="str">
        <f>IF(B152="","",IFERROR(INDEX(Items!$C$5:$C$19,MATCH(B152,Items!$A$5:$A$19,0)),""))</f>
        <v/>
      </c>
      <c r="F152" s="18" t="str">
        <f t="shared" si="12"/>
        <v/>
      </c>
      <c r="G152" s="27"/>
      <c r="H152" s="23" t="str">
        <f>IF(OR(A152="",B152="",D152=""),"",IFERROR(INDEX(Items!$D$5:$D$19,MATCH(B152,Items!$A$5:$A$19,0))+SUMIFS(D$4:D151,B$4:B151,B152),""))</f>
        <v/>
      </c>
      <c r="I152" s="23" t="str">
        <f t="shared" si="13"/>
        <v/>
      </c>
      <c r="J152" s="23" t="str">
        <f t="shared" si="14"/>
        <v/>
      </c>
      <c r="K152" s="18" t="str">
        <f t="shared" si="15"/>
        <v/>
      </c>
      <c r="L152" s="16" t="str">
        <f t="shared" ca="1" si="16"/>
        <v/>
      </c>
      <c r="M152" s="25" t="str">
        <f>IF(H152="","",IF(I152&lt;=0,"Shipped",IF(L152&lt;=AGE30,"Fresh",IF(L152&lt;=AGE60,"Watch",IF(L152&lt;=AGE90,"Aging","Old")))))</f>
        <v/>
      </c>
      <c r="N152" s="16" t="str">
        <f t="shared" si="17"/>
        <v/>
      </c>
    </row>
    <row r="153" spans="1:14" x14ac:dyDescent="0.2">
      <c r="A153" s="32"/>
      <c r="B153" s="27"/>
      <c r="C153" s="15" t="str">
        <f>IF(B153="","",IFERROR(INDEX(Items!$B$5:$B$19,MATCH(B153,Items!$A$5:$A$19,0)),"Unknown code"))</f>
        <v/>
      </c>
      <c r="D153" s="29"/>
      <c r="E153" s="18" t="str">
        <f>IF(B153="","",IFERROR(INDEX(Items!$C$5:$C$19,MATCH(B153,Items!$A$5:$A$19,0)),""))</f>
        <v/>
      </c>
      <c r="F153" s="18" t="str">
        <f t="shared" si="12"/>
        <v/>
      </c>
      <c r="G153" s="27"/>
      <c r="H153" s="23" t="str">
        <f>IF(OR(A153="",B153="",D153=""),"",IFERROR(INDEX(Items!$D$5:$D$19,MATCH(B153,Items!$A$5:$A$19,0))+SUMIFS(D$4:D152,B$4:B152,B153),""))</f>
        <v/>
      </c>
      <c r="I153" s="23" t="str">
        <f t="shared" si="13"/>
        <v/>
      </c>
      <c r="J153" s="23" t="str">
        <f t="shared" si="14"/>
        <v/>
      </c>
      <c r="K153" s="18" t="str">
        <f t="shared" si="15"/>
        <v/>
      </c>
      <c r="L153" s="16" t="str">
        <f t="shared" ca="1" si="16"/>
        <v/>
      </c>
      <c r="M153" s="25" t="str">
        <f>IF(H153="","",IF(I153&lt;=0,"Shipped",IF(L153&lt;=AGE30,"Fresh",IF(L153&lt;=AGE60,"Watch",IF(L153&lt;=AGE90,"Aging","Old")))))</f>
        <v/>
      </c>
      <c r="N153" s="16" t="str">
        <f t="shared" si="17"/>
        <v/>
      </c>
    </row>
    <row r="154" spans="1:14" x14ac:dyDescent="0.2">
      <c r="A154" s="32"/>
      <c r="B154" s="27"/>
      <c r="C154" s="15" t="str">
        <f>IF(B154="","",IFERROR(INDEX(Items!$B$5:$B$19,MATCH(B154,Items!$A$5:$A$19,0)),"Unknown code"))</f>
        <v/>
      </c>
      <c r="D154" s="29"/>
      <c r="E154" s="18" t="str">
        <f>IF(B154="","",IFERROR(INDEX(Items!$C$5:$C$19,MATCH(B154,Items!$A$5:$A$19,0)),""))</f>
        <v/>
      </c>
      <c r="F154" s="18" t="str">
        <f t="shared" si="12"/>
        <v/>
      </c>
      <c r="G154" s="27"/>
      <c r="H154" s="23" t="str">
        <f>IF(OR(A154="",B154="",D154=""),"",IFERROR(INDEX(Items!$D$5:$D$19,MATCH(B154,Items!$A$5:$A$19,0))+SUMIFS(D$4:D153,B$4:B153,B154),""))</f>
        <v/>
      </c>
      <c r="I154" s="23" t="str">
        <f t="shared" si="13"/>
        <v/>
      </c>
      <c r="J154" s="23" t="str">
        <f t="shared" si="14"/>
        <v/>
      </c>
      <c r="K154" s="18" t="str">
        <f t="shared" si="15"/>
        <v/>
      </c>
      <c r="L154" s="16" t="str">
        <f t="shared" ca="1" si="16"/>
        <v/>
      </c>
      <c r="M154" s="25" t="str">
        <f>IF(H154="","",IF(I154&lt;=0,"Shipped",IF(L154&lt;=AGE30,"Fresh",IF(L154&lt;=AGE60,"Watch",IF(L154&lt;=AGE90,"Aging","Old")))))</f>
        <v/>
      </c>
      <c r="N154" s="16" t="str">
        <f t="shared" si="17"/>
        <v/>
      </c>
    </row>
    <row r="155" spans="1:14" x14ac:dyDescent="0.2">
      <c r="A155" s="32"/>
      <c r="B155" s="27"/>
      <c r="C155" s="15" t="str">
        <f>IF(B155="","",IFERROR(INDEX(Items!$B$5:$B$19,MATCH(B155,Items!$A$5:$A$19,0)),"Unknown code"))</f>
        <v/>
      </c>
      <c r="D155" s="29"/>
      <c r="E155" s="18" t="str">
        <f>IF(B155="","",IFERROR(INDEX(Items!$C$5:$C$19,MATCH(B155,Items!$A$5:$A$19,0)),""))</f>
        <v/>
      </c>
      <c r="F155" s="18" t="str">
        <f t="shared" si="12"/>
        <v/>
      </c>
      <c r="G155" s="27"/>
      <c r="H155" s="23" t="str">
        <f>IF(OR(A155="",B155="",D155=""),"",IFERROR(INDEX(Items!$D$5:$D$19,MATCH(B155,Items!$A$5:$A$19,0))+SUMIFS(D$4:D154,B$4:B154,B155),""))</f>
        <v/>
      </c>
      <c r="I155" s="23" t="str">
        <f t="shared" si="13"/>
        <v/>
      </c>
      <c r="J155" s="23" t="str">
        <f t="shared" si="14"/>
        <v/>
      </c>
      <c r="K155" s="18" t="str">
        <f t="shared" si="15"/>
        <v/>
      </c>
      <c r="L155" s="16" t="str">
        <f t="shared" ca="1" si="16"/>
        <v/>
      </c>
      <c r="M155" s="25" t="str">
        <f>IF(H155="","",IF(I155&lt;=0,"Shipped",IF(L155&lt;=AGE30,"Fresh",IF(L155&lt;=AGE60,"Watch",IF(L155&lt;=AGE90,"Aging","Old")))))</f>
        <v/>
      </c>
      <c r="N155" s="16" t="str">
        <f t="shared" si="17"/>
        <v/>
      </c>
    </row>
    <row r="156" spans="1:14" x14ac:dyDescent="0.2">
      <c r="A156" s="32"/>
      <c r="B156" s="27"/>
      <c r="C156" s="15" t="str">
        <f>IF(B156="","",IFERROR(INDEX(Items!$B$5:$B$19,MATCH(B156,Items!$A$5:$A$19,0)),"Unknown code"))</f>
        <v/>
      </c>
      <c r="D156" s="29"/>
      <c r="E156" s="18" t="str">
        <f>IF(B156="","",IFERROR(INDEX(Items!$C$5:$C$19,MATCH(B156,Items!$A$5:$A$19,0)),""))</f>
        <v/>
      </c>
      <c r="F156" s="18" t="str">
        <f t="shared" si="12"/>
        <v/>
      </c>
      <c r="G156" s="27"/>
      <c r="H156" s="23" t="str">
        <f>IF(OR(A156="",B156="",D156=""),"",IFERROR(INDEX(Items!$D$5:$D$19,MATCH(B156,Items!$A$5:$A$19,0))+SUMIFS(D$4:D155,B$4:B155,B156),""))</f>
        <v/>
      </c>
      <c r="I156" s="23" t="str">
        <f t="shared" si="13"/>
        <v/>
      </c>
      <c r="J156" s="23" t="str">
        <f t="shared" si="14"/>
        <v/>
      </c>
      <c r="K156" s="18" t="str">
        <f t="shared" si="15"/>
        <v/>
      </c>
      <c r="L156" s="16" t="str">
        <f t="shared" ca="1" si="16"/>
        <v/>
      </c>
      <c r="M156" s="25" t="str">
        <f>IF(H156="","",IF(I156&lt;=0,"Shipped",IF(L156&lt;=AGE30,"Fresh",IF(L156&lt;=AGE60,"Watch",IF(L156&lt;=AGE90,"Aging","Old")))))</f>
        <v/>
      </c>
      <c r="N156" s="16" t="str">
        <f t="shared" si="17"/>
        <v/>
      </c>
    </row>
    <row r="157" spans="1:14" x14ac:dyDescent="0.2">
      <c r="A157" s="32"/>
      <c r="B157" s="27"/>
      <c r="C157" s="15" t="str">
        <f>IF(B157="","",IFERROR(INDEX(Items!$B$5:$B$19,MATCH(B157,Items!$A$5:$A$19,0)),"Unknown code"))</f>
        <v/>
      </c>
      <c r="D157" s="29"/>
      <c r="E157" s="18" t="str">
        <f>IF(B157="","",IFERROR(INDEX(Items!$C$5:$C$19,MATCH(B157,Items!$A$5:$A$19,0)),""))</f>
        <v/>
      </c>
      <c r="F157" s="18" t="str">
        <f t="shared" si="12"/>
        <v/>
      </c>
      <c r="G157" s="27"/>
      <c r="H157" s="23" t="str">
        <f>IF(OR(A157="",B157="",D157=""),"",IFERROR(INDEX(Items!$D$5:$D$19,MATCH(B157,Items!$A$5:$A$19,0))+SUMIFS(D$4:D156,B$4:B156,B157),""))</f>
        <v/>
      </c>
      <c r="I157" s="23" t="str">
        <f t="shared" si="13"/>
        <v/>
      </c>
      <c r="J157" s="23" t="str">
        <f t="shared" si="14"/>
        <v/>
      </c>
      <c r="K157" s="18" t="str">
        <f t="shared" si="15"/>
        <v/>
      </c>
      <c r="L157" s="16" t="str">
        <f t="shared" ca="1" si="16"/>
        <v/>
      </c>
      <c r="M157" s="25" t="str">
        <f>IF(H157="","",IF(I157&lt;=0,"Shipped",IF(L157&lt;=AGE30,"Fresh",IF(L157&lt;=AGE60,"Watch",IF(L157&lt;=AGE90,"Aging","Old")))))</f>
        <v/>
      </c>
      <c r="N157" s="16" t="str">
        <f t="shared" si="17"/>
        <v/>
      </c>
    </row>
    <row r="158" spans="1:14" x14ac:dyDescent="0.2">
      <c r="A158" s="32"/>
      <c r="B158" s="27"/>
      <c r="C158" s="15" t="str">
        <f>IF(B158="","",IFERROR(INDEX(Items!$B$5:$B$19,MATCH(B158,Items!$A$5:$A$19,0)),"Unknown code"))</f>
        <v/>
      </c>
      <c r="D158" s="29"/>
      <c r="E158" s="18" t="str">
        <f>IF(B158="","",IFERROR(INDEX(Items!$C$5:$C$19,MATCH(B158,Items!$A$5:$A$19,0)),""))</f>
        <v/>
      </c>
      <c r="F158" s="18" t="str">
        <f t="shared" si="12"/>
        <v/>
      </c>
      <c r="G158" s="27"/>
      <c r="H158" s="23" t="str">
        <f>IF(OR(A158="",B158="",D158=""),"",IFERROR(INDEX(Items!$D$5:$D$19,MATCH(B158,Items!$A$5:$A$19,0))+SUMIFS(D$4:D157,B$4:B157,B158),""))</f>
        <v/>
      </c>
      <c r="I158" s="23" t="str">
        <f t="shared" si="13"/>
        <v/>
      </c>
      <c r="J158" s="23" t="str">
        <f t="shared" si="14"/>
        <v/>
      </c>
      <c r="K158" s="18" t="str">
        <f t="shared" si="15"/>
        <v/>
      </c>
      <c r="L158" s="16" t="str">
        <f t="shared" ca="1" si="16"/>
        <v/>
      </c>
      <c r="M158" s="25" t="str">
        <f>IF(H158="","",IF(I158&lt;=0,"Shipped",IF(L158&lt;=AGE30,"Fresh",IF(L158&lt;=AGE60,"Watch",IF(L158&lt;=AGE90,"Aging","Old")))))</f>
        <v/>
      </c>
      <c r="N158" s="16" t="str">
        <f t="shared" si="17"/>
        <v/>
      </c>
    </row>
    <row r="159" spans="1:14" x14ac:dyDescent="0.2">
      <c r="A159" s="32"/>
      <c r="B159" s="27"/>
      <c r="C159" s="15" t="str">
        <f>IF(B159="","",IFERROR(INDEX(Items!$B$5:$B$19,MATCH(B159,Items!$A$5:$A$19,0)),"Unknown code"))</f>
        <v/>
      </c>
      <c r="D159" s="29"/>
      <c r="E159" s="18" t="str">
        <f>IF(B159="","",IFERROR(INDEX(Items!$C$5:$C$19,MATCH(B159,Items!$A$5:$A$19,0)),""))</f>
        <v/>
      </c>
      <c r="F159" s="18" t="str">
        <f t="shared" si="12"/>
        <v/>
      </c>
      <c r="G159" s="27"/>
      <c r="H159" s="23" t="str">
        <f>IF(OR(A159="",B159="",D159=""),"",IFERROR(INDEX(Items!$D$5:$D$19,MATCH(B159,Items!$A$5:$A$19,0))+SUMIFS(D$4:D158,B$4:B158,B159),""))</f>
        <v/>
      </c>
      <c r="I159" s="23" t="str">
        <f t="shared" si="13"/>
        <v/>
      </c>
      <c r="J159" s="23" t="str">
        <f t="shared" si="14"/>
        <v/>
      </c>
      <c r="K159" s="18" t="str">
        <f t="shared" si="15"/>
        <v/>
      </c>
      <c r="L159" s="16" t="str">
        <f t="shared" ca="1" si="16"/>
        <v/>
      </c>
      <c r="M159" s="25" t="str">
        <f>IF(H159="","",IF(I159&lt;=0,"Shipped",IF(L159&lt;=AGE30,"Fresh",IF(L159&lt;=AGE60,"Watch",IF(L159&lt;=AGE90,"Aging","Old")))))</f>
        <v/>
      </c>
      <c r="N159" s="16" t="str">
        <f t="shared" si="17"/>
        <v/>
      </c>
    </row>
    <row r="160" spans="1:14" x14ac:dyDescent="0.2">
      <c r="A160" s="32"/>
      <c r="B160" s="27"/>
      <c r="C160" s="15" t="str">
        <f>IF(B160="","",IFERROR(INDEX(Items!$B$5:$B$19,MATCH(B160,Items!$A$5:$A$19,0)),"Unknown code"))</f>
        <v/>
      </c>
      <c r="D160" s="29"/>
      <c r="E160" s="18" t="str">
        <f>IF(B160="","",IFERROR(INDEX(Items!$C$5:$C$19,MATCH(B160,Items!$A$5:$A$19,0)),""))</f>
        <v/>
      </c>
      <c r="F160" s="18" t="str">
        <f t="shared" si="12"/>
        <v/>
      </c>
      <c r="G160" s="27"/>
      <c r="H160" s="23" t="str">
        <f>IF(OR(A160="",B160="",D160=""),"",IFERROR(INDEX(Items!$D$5:$D$19,MATCH(B160,Items!$A$5:$A$19,0))+SUMIFS(D$4:D159,B$4:B159,B160),""))</f>
        <v/>
      </c>
      <c r="I160" s="23" t="str">
        <f t="shared" si="13"/>
        <v/>
      </c>
      <c r="J160" s="23" t="str">
        <f t="shared" si="14"/>
        <v/>
      </c>
      <c r="K160" s="18" t="str">
        <f t="shared" si="15"/>
        <v/>
      </c>
      <c r="L160" s="16" t="str">
        <f t="shared" ca="1" si="16"/>
        <v/>
      </c>
      <c r="M160" s="25" t="str">
        <f>IF(H160="","",IF(I160&lt;=0,"Shipped",IF(L160&lt;=AGE30,"Fresh",IF(L160&lt;=AGE60,"Watch",IF(L160&lt;=AGE90,"Aging","Old")))))</f>
        <v/>
      </c>
      <c r="N160" s="16" t="str">
        <f t="shared" si="17"/>
        <v/>
      </c>
    </row>
    <row r="161" spans="1:14" x14ac:dyDescent="0.2">
      <c r="A161" s="32"/>
      <c r="B161" s="27"/>
      <c r="C161" s="15" t="str">
        <f>IF(B161="","",IFERROR(INDEX(Items!$B$5:$B$19,MATCH(B161,Items!$A$5:$A$19,0)),"Unknown code"))</f>
        <v/>
      </c>
      <c r="D161" s="29"/>
      <c r="E161" s="18" t="str">
        <f>IF(B161="","",IFERROR(INDEX(Items!$C$5:$C$19,MATCH(B161,Items!$A$5:$A$19,0)),""))</f>
        <v/>
      </c>
      <c r="F161" s="18" t="str">
        <f t="shared" si="12"/>
        <v/>
      </c>
      <c r="G161" s="27"/>
      <c r="H161" s="23" t="str">
        <f>IF(OR(A161="",B161="",D161=""),"",IFERROR(INDEX(Items!$D$5:$D$19,MATCH(B161,Items!$A$5:$A$19,0))+SUMIFS(D$4:D160,B$4:B160,B161),""))</f>
        <v/>
      </c>
      <c r="I161" s="23" t="str">
        <f t="shared" si="13"/>
        <v/>
      </c>
      <c r="J161" s="23" t="str">
        <f t="shared" si="14"/>
        <v/>
      </c>
      <c r="K161" s="18" t="str">
        <f t="shared" si="15"/>
        <v/>
      </c>
      <c r="L161" s="16" t="str">
        <f t="shared" ca="1" si="16"/>
        <v/>
      </c>
      <c r="M161" s="25" t="str">
        <f>IF(H161="","",IF(I161&lt;=0,"Shipped",IF(L161&lt;=AGE30,"Fresh",IF(L161&lt;=AGE60,"Watch",IF(L161&lt;=AGE90,"Aging","Old")))))</f>
        <v/>
      </c>
      <c r="N161" s="16" t="str">
        <f t="shared" si="17"/>
        <v/>
      </c>
    </row>
    <row r="162" spans="1:14" x14ac:dyDescent="0.2">
      <c r="A162" s="32"/>
      <c r="B162" s="27"/>
      <c r="C162" s="15" t="str">
        <f>IF(B162="","",IFERROR(INDEX(Items!$B$5:$B$19,MATCH(B162,Items!$A$5:$A$19,0)),"Unknown code"))</f>
        <v/>
      </c>
      <c r="D162" s="29"/>
      <c r="E162" s="18" t="str">
        <f>IF(B162="","",IFERROR(INDEX(Items!$C$5:$C$19,MATCH(B162,Items!$A$5:$A$19,0)),""))</f>
        <v/>
      </c>
      <c r="F162" s="18" t="str">
        <f t="shared" si="12"/>
        <v/>
      </c>
      <c r="G162" s="27"/>
      <c r="H162" s="23" t="str">
        <f>IF(OR(A162="",B162="",D162=""),"",IFERROR(INDEX(Items!$D$5:$D$19,MATCH(B162,Items!$A$5:$A$19,0))+SUMIFS(D$4:D161,B$4:B161,B162),""))</f>
        <v/>
      </c>
      <c r="I162" s="23" t="str">
        <f t="shared" si="13"/>
        <v/>
      </c>
      <c r="J162" s="23" t="str">
        <f t="shared" si="14"/>
        <v/>
      </c>
      <c r="K162" s="18" t="str">
        <f t="shared" si="15"/>
        <v/>
      </c>
      <c r="L162" s="16" t="str">
        <f t="shared" ca="1" si="16"/>
        <v/>
      </c>
      <c r="M162" s="25" t="str">
        <f>IF(H162="","",IF(I162&lt;=0,"Shipped",IF(L162&lt;=AGE30,"Fresh",IF(L162&lt;=AGE60,"Watch",IF(L162&lt;=AGE90,"Aging","Old")))))</f>
        <v/>
      </c>
      <c r="N162" s="16" t="str">
        <f t="shared" si="17"/>
        <v/>
      </c>
    </row>
    <row r="163" spans="1:14" x14ac:dyDescent="0.2">
      <c r="A163" s="32"/>
      <c r="B163" s="27"/>
      <c r="C163" s="15" t="str">
        <f>IF(B163="","",IFERROR(INDEX(Items!$B$5:$B$19,MATCH(B163,Items!$A$5:$A$19,0)),"Unknown code"))</f>
        <v/>
      </c>
      <c r="D163" s="29"/>
      <c r="E163" s="18" t="str">
        <f>IF(B163="","",IFERROR(INDEX(Items!$C$5:$C$19,MATCH(B163,Items!$A$5:$A$19,0)),""))</f>
        <v/>
      </c>
      <c r="F163" s="18" t="str">
        <f t="shared" si="12"/>
        <v/>
      </c>
      <c r="G163" s="27"/>
      <c r="H163" s="23" t="str">
        <f>IF(OR(A163="",B163="",D163=""),"",IFERROR(INDEX(Items!$D$5:$D$19,MATCH(B163,Items!$A$5:$A$19,0))+SUMIFS(D$4:D162,B$4:B162,B163),""))</f>
        <v/>
      </c>
      <c r="I163" s="23" t="str">
        <f t="shared" si="13"/>
        <v/>
      </c>
      <c r="J163" s="23" t="str">
        <f t="shared" si="14"/>
        <v/>
      </c>
      <c r="K163" s="18" t="str">
        <f t="shared" si="15"/>
        <v/>
      </c>
      <c r="L163" s="16" t="str">
        <f t="shared" ca="1" si="16"/>
        <v/>
      </c>
      <c r="M163" s="25" t="str">
        <f>IF(H163="","",IF(I163&lt;=0,"Shipped",IF(L163&lt;=AGE30,"Fresh",IF(L163&lt;=AGE60,"Watch",IF(L163&lt;=AGE90,"Aging","Old")))))</f>
        <v/>
      </c>
      <c r="N163" s="16" t="str">
        <f t="shared" si="17"/>
        <v/>
      </c>
    </row>
    <row r="164" spans="1:14" x14ac:dyDescent="0.2">
      <c r="A164" s="32"/>
      <c r="B164" s="27"/>
      <c r="C164" s="15" t="str">
        <f>IF(B164="","",IFERROR(INDEX(Items!$B$5:$B$19,MATCH(B164,Items!$A$5:$A$19,0)),"Unknown code"))</f>
        <v/>
      </c>
      <c r="D164" s="29"/>
      <c r="E164" s="18" t="str">
        <f>IF(B164="","",IFERROR(INDEX(Items!$C$5:$C$19,MATCH(B164,Items!$A$5:$A$19,0)),""))</f>
        <v/>
      </c>
      <c r="F164" s="18" t="str">
        <f t="shared" si="12"/>
        <v/>
      </c>
      <c r="G164" s="27"/>
      <c r="H164" s="23" t="str">
        <f>IF(OR(A164="",B164="",D164=""),"",IFERROR(INDEX(Items!$D$5:$D$19,MATCH(B164,Items!$A$5:$A$19,0))+SUMIFS(D$4:D163,B$4:B163,B164),""))</f>
        <v/>
      </c>
      <c r="I164" s="23" t="str">
        <f t="shared" si="13"/>
        <v/>
      </c>
      <c r="J164" s="23" t="str">
        <f t="shared" si="14"/>
        <v/>
      </c>
      <c r="K164" s="18" t="str">
        <f t="shared" si="15"/>
        <v/>
      </c>
      <c r="L164" s="16" t="str">
        <f t="shared" ca="1" si="16"/>
        <v/>
      </c>
      <c r="M164" s="25" t="str">
        <f>IF(H164="","",IF(I164&lt;=0,"Shipped",IF(L164&lt;=AGE30,"Fresh",IF(L164&lt;=AGE60,"Watch",IF(L164&lt;=AGE90,"Aging","Old")))))</f>
        <v/>
      </c>
      <c r="N164" s="16" t="str">
        <f t="shared" si="17"/>
        <v/>
      </c>
    </row>
    <row r="165" spans="1:14" x14ac:dyDescent="0.2">
      <c r="A165" s="32"/>
      <c r="B165" s="27"/>
      <c r="C165" s="15" t="str">
        <f>IF(B165="","",IFERROR(INDEX(Items!$B$5:$B$19,MATCH(B165,Items!$A$5:$A$19,0)),"Unknown code"))</f>
        <v/>
      </c>
      <c r="D165" s="29"/>
      <c r="E165" s="18" t="str">
        <f>IF(B165="","",IFERROR(INDEX(Items!$C$5:$C$19,MATCH(B165,Items!$A$5:$A$19,0)),""))</f>
        <v/>
      </c>
      <c r="F165" s="18" t="str">
        <f t="shared" si="12"/>
        <v/>
      </c>
      <c r="G165" s="27"/>
      <c r="H165" s="23" t="str">
        <f>IF(OR(A165="",B165="",D165=""),"",IFERROR(INDEX(Items!$D$5:$D$19,MATCH(B165,Items!$A$5:$A$19,0))+SUMIFS(D$4:D164,B$4:B164,B165),""))</f>
        <v/>
      </c>
      <c r="I165" s="23" t="str">
        <f t="shared" si="13"/>
        <v/>
      </c>
      <c r="J165" s="23" t="str">
        <f t="shared" si="14"/>
        <v/>
      </c>
      <c r="K165" s="18" t="str">
        <f t="shared" si="15"/>
        <v/>
      </c>
      <c r="L165" s="16" t="str">
        <f t="shared" ca="1" si="16"/>
        <v/>
      </c>
      <c r="M165" s="25" t="str">
        <f>IF(H165="","",IF(I165&lt;=0,"Shipped",IF(L165&lt;=AGE30,"Fresh",IF(L165&lt;=AGE60,"Watch",IF(L165&lt;=AGE90,"Aging","Old")))))</f>
        <v/>
      </c>
      <c r="N165" s="16" t="str">
        <f t="shared" si="17"/>
        <v/>
      </c>
    </row>
    <row r="166" spans="1:14" x14ac:dyDescent="0.2">
      <c r="A166" s="32"/>
      <c r="B166" s="27"/>
      <c r="C166" s="15" t="str">
        <f>IF(B166="","",IFERROR(INDEX(Items!$B$5:$B$19,MATCH(B166,Items!$A$5:$A$19,0)),"Unknown code"))</f>
        <v/>
      </c>
      <c r="D166" s="29"/>
      <c r="E166" s="18" t="str">
        <f>IF(B166="","",IFERROR(INDEX(Items!$C$5:$C$19,MATCH(B166,Items!$A$5:$A$19,0)),""))</f>
        <v/>
      </c>
      <c r="F166" s="18" t="str">
        <f t="shared" si="12"/>
        <v/>
      </c>
      <c r="G166" s="27"/>
      <c r="H166" s="23" t="str">
        <f>IF(OR(A166="",B166="",D166=""),"",IFERROR(INDEX(Items!$D$5:$D$19,MATCH(B166,Items!$A$5:$A$19,0))+SUMIFS(D$4:D165,B$4:B165,B166),""))</f>
        <v/>
      </c>
      <c r="I166" s="23" t="str">
        <f t="shared" si="13"/>
        <v/>
      </c>
      <c r="J166" s="23" t="str">
        <f t="shared" si="14"/>
        <v/>
      </c>
      <c r="K166" s="18" t="str">
        <f t="shared" si="15"/>
        <v/>
      </c>
      <c r="L166" s="16" t="str">
        <f t="shared" ca="1" si="16"/>
        <v/>
      </c>
      <c r="M166" s="25" t="str">
        <f>IF(H166="","",IF(I166&lt;=0,"Shipped",IF(L166&lt;=AGE30,"Fresh",IF(L166&lt;=AGE60,"Watch",IF(L166&lt;=AGE90,"Aging","Old")))))</f>
        <v/>
      </c>
      <c r="N166" s="16" t="str">
        <f t="shared" si="17"/>
        <v/>
      </c>
    </row>
    <row r="167" spans="1:14" x14ac:dyDescent="0.2">
      <c r="A167" s="32"/>
      <c r="B167" s="27"/>
      <c r="C167" s="15" t="str">
        <f>IF(B167="","",IFERROR(INDEX(Items!$B$5:$B$19,MATCH(B167,Items!$A$5:$A$19,0)),"Unknown code"))</f>
        <v/>
      </c>
      <c r="D167" s="29"/>
      <c r="E167" s="18" t="str">
        <f>IF(B167="","",IFERROR(INDEX(Items!$C$5:$C$19,MATCH(B167,Items!$A$5:$A$19,0)),""))</f>
        <v/>
      </c>
      <c r="F167" s="18" t="str">
        <f t="shared" si="12"/>
        <v/>
      </c>
      <c r="G167" s="27"/>
      <c r="H167" s="23" t="str">
        <f>IF(OR(A167="",B167="",D167=""),"",IFERROR(INDEX(Items!$D$5:$D$19,MATCH(B167,Items!$A$5:$A$19,0))+SUMIFS(D$4:D166,B$4:B166,B167),""))</f>
        <v/>
      </c>
      <c r="I167" s="23" t="str">
        <f t="shared" si="13"/>
        <v/>
      </c>
      <c r="J167" s="23" t="str">
        <f t="shared" si="14"/>
        <v/>
      </c>
      <c r="K167" s="18" t="str">
        <f t="shared" si="15"/>
        <v/>
      </c>
      <c r="L167" s="16" t="str">
        <f t="shared" ca="1" si="16"/>
        <v/>
      </c>
      <c r="M167" s="25" t="str">
        <f>IF(H167="","",IF(I167&lt;=0,"Shipped",IF(L167&lt;=AGE30,"Fresh",IF(L167&lt;=AGE60,"Watch",IF(L167&lt;=AGE90,"Aging","Old")))))</f>
        <v/>
      </c>
      <c r="N167" s="16" t="str">
        <f t="shared" si="17"/>
        <v/>
      </c>
    </row>
    <row r="168" spans="1:14" x14ac:dyDescent="0.2">
      <c r="A168" s="32"/>
      <c r="B168" s="27"/>
      <c r="C168" s="15" t="str">
        <f>IF(B168="","",IFERROR(INDEX(Items!$B$5:$B$19,MATCH(B168,Items!$A$5:$A$19,0)),"Unknown code"))</f>
        <v/>
      </c>
      <c r="D168" s="29"/>
      <c r="E168" s="18" t="str">
        <f>IF(B168="","",IFERROR(INDEX(Items!$C$5:$C$19,MATCH(B168,Items!$A$5:$A$19,0)),""))</f>
        <v/>
      </c>
      <c r="F168" s="18" t="str">
        <f t="shared" si="12"/>
        <v/>
      </c>
      <c r="G168" s="27"/>
      <c r="H168" s="23" t="str">
        <f>IF(OR(A168="",B168="",D168=""),"",IFERROR(INDEX(Items!$D$5:$D$19,MATCH(B168,Items!$A$5:$A$19,0))+SUMIFS(D$4:D167,B$4:B167,B168),""))</f>
        <v/>
      </c>
      <c r="I168" s="23" t="str">
        <f t="shared" si="13"/>
        <v/>
      </c>
      <c r="J168" s="23" t="str">
        <f t="shared" si="14"/>
        <v/>
      </c>
      <c r="K168" s="18" t="str">
        <f t="shared" si="15"/>
        <v/>
      </c>
      <c r="L168" s="16" t="str">
        <f t="shared" ca="1" si="16"/>
        <v/>
      </c>
      <c r="M168" s="25" t="str">
        <f>IF(H168="","",IF(I168&lt;=0,"Shipped",IF(L168&lt;=AGE30,"Fresh",IF(L168&lt;=AGE60,"Watch",IF(L168&lt;=AGE90,"Aging","Old")))))</f>
        <v/>
      </c>
      <c r="N168" s="16" t="str">
        <f t="shared" si="17"/>
        <v/>
      </c>
    </row>
    <row r="169" spans="1:14" x14ac:dyDescent="0.2">
      <c r="A169" s="32"/>
      <c r="B169" s="27"/>
      <c r="C169" s="15" t="str">
        <f>IF(B169="","",IFERROR(INDEX(Items!$B$5:$B$19,MATCH(B169,Items!$A$5:$A$19,0)),"Unknown code"))</f>
        <v/>
      </c>
      <c r="D169" s="29"/>
      <c r="E169" s="18" t="str">
        <f>IF(B169="","",IFERROR(INDEX(Items!$C$5:$C$19,MATCH(B169,Items!$A$5:$A$19,0)),""))</f>
        <v/>
      </c>
      <c r="F169" s="18" t="str">
        <f t="shared" si="12"/>
        <v/>
      </c>
      <c r="G169" s="27"/>
      <c r="H169" s="23" t="str">
        <f>IF(OR(A169="",B169="",D169=""),"",IFERROR(INDEX(Items!$D$5:$D$19,MATCH(B169,Items!$A$5:$A$19,0))+SUMIFS(D$4:D168,B$4:B168,B169),""))</f>
        <v/>
      </c>
      <c r="I169" s="23" t="str">
        <f t="shared" si="13"/>
        <v/>
      </c>
      <c r="J169" s="23" t="str">
        <f t="shared" si="14"/>
        <v/>
      </c>
      <c r="K169" s="18" t="str">
        <f t="shared" si="15"/>
        <v/>
      </c>
      <c r="L169" s="16" t="str">
        <f t="shared" ca="1" si="16"/>
        <v/>
      </c>
      <c r="M169" s="25" t="str">
        <f>IF(H169="","",IF(I169&lt;=0,"Shipped",IF(L169&lt;=AGE30,"Fresh",IF(L169&lt;=AGE60,"Watch",IF(L169&lt;=AGE90,"Aging","Old")))))</f>
        <v/>
      </c>
      <c r="N169" s="16" t="str">
        <f t="shared" si="17"/>
        <v/>
      </c>
    </row>
    <row r="170" spans="1:14" x14ac:dyDescent="0.2">
      <c r="A170" s="32"/>
      <c r="B170" s="27"/>
      <c r="C170" s="15" t="str">
        <f>IF(B170="","",IFERROR(INDEX(Items!$B$5:$B$19,MATCH(B170,Items!$A$5:$A$19,0)),"Unknown code"))</f>
        <v/>
      </c>
      <c r="D170" s="29"/>
      <c r="E170" s="18" t="str">
        <f>IF(B170="","",IFERROR(INDEX(Items!$C$5:$C$19,MATCH(B170,Items!$A$5:$A$19,0)),""))</f>
        <v/>
      </c>
      <c r="F170" s="18" t="str">
        <f t="shared" si="12"/>
        <v/>
      </c>
      <c r="G170" s="27"/>
      <c r="H170" s="23" t="str">
        <f>IF(OR(A170="",B170="",D170=""),"",IFERROR(INDEX(Items!$D$5:$D$19,MATCH(B170,Items!$A$5:$A$19,0))+SUMIFS(D$4:D169,B$4:B169,B170),""))</f>
        <v/>
      </c>
      <c r="I170" s="23" t="str">
        <f t="shared" si="13"/>
        <v/>
      </c>
      <c r="J170" s="23" t="str">
        <f t="shared" si="14"/>
        <v/>
      </c>
      <c r="K170" s="18" t="str">
        <f t="shared" si="15"/>
        <v/>
      </c>
      <c r="L170" s="16" t="str">
        <f t="shared" ca="1" si="16"/>
        <v/>
      </c>
      <c r="M170" s="25" t="str">
        <f>IF(H170="","",IF(I170&lt;=0,"Shipped",IF(L170&lt;=AGE30,"Fresh",IF(L170&lt;=AGE60,"Watch",IF(L170&lt;=AGE90,"Aging","Old")))))</f>
        <v/>
      </c>
      <c r="N170" s="16" t="str">
        <f t="shared" si="17"/>
        <v/>
      </c>
    </row>
    <row r="171" spans="1:14" x14ac:dyDescent="0.2">
      <c r="A171" s="32"/>
      <c r="B171" s="27"/>
      <c r="C171" s="15" t="str">
        <f>IF(B171="","",IFERROR(INDEX(Items!$B$5:$B$19,MATCH(B171,Items!$A$5:$A$19,0)),"Unknown code"))</f>
        <v/>
      </c>
      <c r="D171" s="29"/>
      <c r="E171" s="18" t="str">
        <f>IF(B171="","",IFERROR(INDEX(Items!$C$5:$C$19,MATCH(B171,Items!$A$5:$A$19,0)),""))</f>
        <v/>
      </c>
      <c r="F171" s="18" t="str">
        <f t="shared" si="12"/>
        <v/>
      </c>
      <c r="G171" s="27"/>
      <c r="H171" s="23" t="str">
        <f>IF(OR(A171="",B171="",D171=""),"",IFERROR(INDEX(Items!$D$5:$D$19,MATCH(B171,Items!$A$5:$A$19,0))+SUMIFS(D$4:D170,B$4:B170,B171),""))</f>
        <v/>
      </c>
      <c r="I171" s="23" t="str">
        <f t="shared" si="13"/>
        <v/>
      </c>
      <c r="J171" s="23" t="str">
        <f t="shared" si="14"/>
        <v/>
      </c>
      <c r="K171" s="18" t="str">
        <f t="shared" si="15"/>
        <v/>
      </c>
      <c r="L171" s="16" t="str">
        <f t="shared" ca="1" si="16"/>
        <v/>
      </c>
      <c r="M171" s="25" t="str">
        <f>IF(H171="","",IF(I171&lt;=0,"Shipped",IF(L171&lt;=AGE30,"Fresh",IF(L171&lt;=AGE60,"Watch",IF(L171&lt;=AGE90,"Aging","Old")))))</f>
        <v/>
      </c>
      <c r="N171" s="16" t="str">
        <f t="shared" si="17"/>
        <v/>
      </c>
    </row>
    <row r="172" spans="1:14" x14ac:dyDescent="0.2">
      <c r="A172" s="32"/>
      <c r="B172" s="27"/>
      <c r="C172" s="15" t="str">
        <f>IF(B172="","",IFERROR(INDEX(Items!$B$5:$B$19,MATCH(B172,Items!$A$5:$A$19,0)),"Unknown code"))</f>
        <v/>
      </c>
      <c r="D172" s="29"/>
      <c r="E172" s="18" t="str">
        <f>IF(B172="","",IFERROR(INDEX(Items!$C$5:$C$19,MATCH(B172,Items!$A$5:$A$19,0)),""))</f>
        <v/>
      </c>
      <c r="F172" s="18" t="str">
        <f t="shared" si="12"/>
        <v/>
      </c>
      <c r="G172" s="27"/>
      <c r="H172" s="23" t="str">
        <f>IF(OR(A172="",B172="",D172=""),"",IFERROR(INDEX(Items!$D$5:$D$19,MATCH(B172,Items!$A$5:$A$19,0))+SUMIFS(D$4:D171,B$4:B171,B172),""))</f>
        <v/>
      </c>
      <c r="I172" s="23" t="str">
        <f t="shared" si="13"/>
        <v/>
      </c>
      <c r="J172" s="23" t="str">
        <f t="shared" si="14"/>
        <v/>
      </c>
      <c r="K172" s="18" t="str">
        <f t="shared" si="15"/>
        <v/>
      </c>
      <c r="L172" s="16" t="str">
        <f t="shared" ca="1" si="16"/>
        <v/>
      </c>
      <c r="M172" s="25" t="str">
        <f>IF(H172="","",IF(I172&lt;=0,"Shipped",IF(L172&lt;=AGE30,"Fresh",IF(L172&lt;=AGE60,"Watch",IF(L172&lt;=AGE90,"Aging","Old")))))</f>
        <v/>
      </c>
      <c r="N172" s="16" t="str">
        <f t="shared" si="17"/>
        <v/>
      </c>
    </row>
    <row r="173" spans="1:14" x14ac:dyDescent="0.2">
      <c r="A173" s="32"/>
      <c r="B173" s="27"/>
      <c r="C173" s="15" t="str">
        <f>IF(B173="","",IFERROR(INDEX(Items!$B$5:$B$19,MATCH(B173,Items!$A$5:$A$19,0)),"Unknown code"))</f>
        <v/>
      </c>
      <c r="D173" s="29"/>
      <c r="E173" s="18" t="str">
        <f>IF(B173="","",IFERROR(INDEX(Items!$C$5:$C$19,MATCH(B173,Items!$A$5:$A$19,0)),""))</f>
        <v/>
      </c>
      <c r="F173" s="18" t="str">
        <f t="shared" si="12"/>
        <v/>
      </c>
      <c r="G173" s="27"/>
      <c r="H173" s="23" t="str">
        <f>IF(OR(A173="",B173="",D173=""),"",IFERROR(INDEX(Items!$D$5:$D$19,MATCH(B173,Items!$A$5:$A$19,0))+SUMIFS(D$4:D172,B$4:B172,B173),""))</f>
        <v/>
      </c>
      <c r="I173" s="23" t="str">
        <f t="shared" si="13"/>
        <v/>
      </c>
      <c r="J173" s="23" t="str">
        <f t="shared" si="14"/>
        <v/>
      </c>
      <c r="K173" s="18" t="str">
        <f t="shared" si="15"/>
        <v/>
      </c>
      <c r="L173" s="16" t="str">
        <f t="shared" ca="1" si="16"/>
        <v/>
      </c>
      <c r="M173" s="25" t="str">
        <f>IF(H173="","",IF(I173&lt;=0,"Shipped",IF(L173&lt;=AGE30,"Fresh",IF(L173&lt;=AGE60,"Watch",IF(L173&lt;=AGE90,"Aging","Old")))))</f>
        <v/>
      </c>
      <c r="N173" s="16" t="str">
        <f t="shared" si="17"/>
        <v/>
      </c>
    </row>
    <row r="174" spans="1:14" x14ac:dyDescent="0.2">
      <c r="A174" s="32"/>
      <c r="B174" s="27"/>
      <c r="C174" s="15" t="str">
        <f>IF(B174="","",IFERROR(INDEX(Items!$B$5:$B$19,MATCH(B174,Items!$A$5:$A$19,0)),"Unknown code"))</f>
        <v/>
      </c>
      <c r="D174" s="29"/>
      <c r="E174" s="18" t="str">
        <f>IF(B174="","",IFERROR(INDEX(Items!$C$5:$C$19,MATCH(B174,Items!$A$5:$A$19,0)),""))</f>
        <v/>
      </c>
      <c r="F174" s="18" t="str">
        <f t="shared" si="12"/>
        <v/>
      </c>
      <c r="G174" s="27"/>
      <c r="H174" s="23" t="str">
        <f>IF(OR(A174="",B174="",D174=""),"",IFERROR(INDEX(Items!$D$5:$D$19,MATCH(B174,Items!$A$5:$A$19,0))+SUMIFS(D$4:D173,B$4:B173,B174),""))</f>
        <v/>
      </c>
      <c r="I174" s="23" t="str">
        <f t="shared" si="13"/>
        <v/>
      </c>
      <c r="J174" s="23" t="str">
        <f t="shared" si="14"/>
        <v/>
      </c>
      <c r="K174" s="18" t="str">
        <f t="shared" si="15"/>
        <v/>
      </c>
      <c r="L174" s="16" t="str">
        <f t="shared" ca="1" si="16"/>
        <v/>
      </c>
      <c r="M174" s="25" t="str">
        <f>IF(H174="","",IF(I174&lt;=0,"Shipped",IF(L174&lt;=AGE30,"Fresh",IF(L174&lt;=AGE60,"Watch",IF(L174&lt;=AGE90,"Aging","Old")))))</f>
        <v/>
      </c>
      <c r="N174" s="16" t="str">
        <f t="shared" si="17"/>
        <v/>
      </c>
    </row>
    <row r="175" spans="1:14" x14ac:dyDescent="0.2">
      <c r="A175" s="32"/>
      <c r="B175" s="27"/>
      <c r="C175" s="15" t="str">
        <f>IF(B175="","",IFERROR(INDEX(Items!$B$5:$B$19,MATCH(B175,Items!$A$5:$A$19,0)),"Unknown code"))</f>
        <v/>
      </c>
      <c r="D175" s="29"/>
      <c r="E175" s="18" t="str">
        <f>IF(B175="","",IFERROR(INDEX(Items!$C$5:$C$19,MATCH(B175,Items!$A$5:$A$19,0)),""))</f>
        <v/>
      </c>
      <c r="F175" s="18" t="str">
        <f t="shared" si="12"/>
        <v/>
      </c>
      <c r="G175" s="27"/>
      <c r="H175" s="23" t="str">
        <f>IF(OR(A175="",B175="",D175=""),"",IFERROR(INDEX(Items!$D$5:$D$19,MATCH(B175,Items!$A$5:$A$19,0))+SUMIFS(D$4:D174,B$4:B174,B175),""))</f>
        <v/>
      </c>
      <c r="I175" s="23" t="str">
        <f t="shared" si="13"/>
        <v/>
      </c>
      <c r="J175" s="23" t="str">
        <f t="shared" si="14"/>
        <v/>
      </c>
      <c r="K175" s="18" t="str">
        <f t="shared" si="15"/>
        <v/>
      </c>
      <c r="L175" s="16" t="str">
        <f t="shared" ca="1" si="16"/>
        <v/>
      </c>
      <c r="M175" s="25" t="str">
        <f>IF(H175="","",IF(I175&lt;=0,"Shipped",IF(L175&lt;=AGE30,"Fresh",IF(L175&lt;=AGE60,"Watch",IF(L175&lt;=AGE90,"Aging","Old")))))</f>
        <v/>
      </c>
      <c r="N175" s="16" t="str">
        <f t="shared" si="17"/>
        <v/>
      </c>
    </row>
    <row r="176" spans="1:14" x14ac:dyDescent="0.2">
      <c r="A176" s="32"/>
      <c r="B176" s="27"/>
      <c r="C176" s="15" t="str">
        <f>IF(B176="","",IFERROR(INDEX(Items!$B$5:$B$19,MATCH(B176,Items!$A$5:$A$19,0)),"Unknown code"))</f>
        <v/>
      </c>
      <c r="D176" s="29"/>
      <c r="E176" s="18" t="str">
        <f>IF(B176="","",IFERROR(INDEX(Items!$C$5:$C$19,MATCH(B176,Items!$A$5:$A$19,0)),""))</f>
        <v/>
      </c>
      <c r="F176" s="18" t="str">
        <f t="shared" si="12"/>
        <v/>
      </c>
      <c r="G176" s="27"/>
      <c r="H176" s="23" t="str">
        <f>IF(OR(A176="",B176="",D176=""),"",IFERROR(INDEX(Items!$D$5:$D$19,MATCH(B176,Items!$A$5:$A$19,0))+SUMIFS(D$4:D175,B$4:B175,B176),""))</f>
        <v/>
      </c>
      <c r="I176" s="23" t="str">
        <f t="shared" si="13"/>
        <v/>
      </c>
      <c r="J176" s="23" t="str">
        <f t="shared" si="14"/>
        <v/>
      </c>
      <c r="K176" s="18" t="str">
        <f t="shared" si="15"/>
        <v/>
      </c>
      <c r="L176" s="16" t="str">
        <f t="shared" ca="1" si="16"/>
        <v/>
      </c>
      <c r="M176" s="25" t="str">
        <f>IF(H176="","",IF(I176&lt;=0,"Shipped",IF(L176&lt;=AGE30,"Fresh",IF(L176&lt;=AGE60,"Watch",IF(L176&lt;=AGE90,"Aging","Old")))))</f>
        <v/>
      </c>
      <c r="N176" s="16" t="str">
        <f t="shared" si="17"/>
        <v/>
      </c>
    </row>
    <row r="177" spans="1:14" x14ac:dyDescent="0.2">
      <c r="A177" s="32"/>
      <c r="B177" s="27"/>
      <c r="C177" s="15" t="str">
        <f>IF(B177="","",IFERROR(INDEX(Items!$B$5:$B$19,MATCH(B177,Items!$A$5:$A$19,0)),"Unknown code"))</f>
        <v/>
      </c>
      <c r="D177" s="29"/>
      <c r="E177" s="18" t="str">
        <f>IF(B177="","",IFERROR(INDEX(Items!$C$5:$C$19,MATCH(B177,Items!$A$5:$A$19,0)),""))</f>
        <v/>
      </c>
      <c r="F177" s="18" t="str">
        <f t="shared" si="12"/>
        <v/>
      </c>
      <c r="G177" s="27"/>
      <c r="H177" s="23" t="str">
        <f>IF(OR(A177="",B177="",D177=""),"",IFERROR(INDEX(Items!$D$5:$D$19,MATCH(B177,Items!$A$5:$A$19,0))+SUMIFS(D$4:D176,B$4:B176,B177),""))</f>
        <v/>
      </c>
      <c r="I177" s="23" t="str">
        <f t="shared" si="13"/>
        <v/>
      </c>
      <c r="J177" s="23" t="str">
        <f t="shared" si="14"/>
        <v/>
      </c>
      <c r="K177" s="18" t="str">
        <f t="shared" si="15"/>
        <v/>
      </c>
      <c r="L177" s="16" t="str">
        <f t="shared" ca="1" si="16"/>
        <v/>
      </c>
      <c r="M177" s="25" t="str">
        <f>IF(H177="","",IF(I177&lt;=0,"Shipped",IF(L177&lt;=AGE30,"Fresh",IF(L177&lt;=AGE60,"Watch",IF(L177&lt;=AGE90,"Aging","Old")))))</f>
        <v/>
      </c>
      <c r="N177" s="16" t="str">
        <f t="shared" si="17"/>
        <v/>
      </c>
    </row>
    <row r="178" spans="1:14" x14ac:dyDescent="0.2">
      <c r="A178" s="32"/>
      <c r="B178" s="27"/>
      <c r="C178" s="15" t="str">
        <f>IF(B178="","",IFERROR(INDEX(Items!$B$5:$B$19,MATCH(B178,Items!$A$5:$A$19,0)),"Unknown code"))</f>
        <v/>
      </c>
      <c r="D178" s="29"/>
      <c r="E178" s="18" t="str">
        <f>IF(B178="","",IFERROR(INDEX(Items!$C$5:$C$19,MATCH(B178,Items!$A$5:$A$19,0)),""))</f>
        <v/>
      </c>
      <c r="F178" s="18" t="str">
        <f t="shared" si="12"/>
        <v/>
      </c>
      <c r="G178" s="27"/>
      <c r="H178" s="23" t="str">
        <f>IF(OR(A178="",B178="",D178=""),"",IFERROR(INDEX(Items!$D$5:$D$19,MATCH(B178,Items!$A$5:$A$19,0))+SUMIFS(D$4:D177,B$4:B177,B178),""))</f>
        <v/>
      </c>
      <c r="I178" s="23" t="str">
        <f t="shared" si="13"/>
        <v/>
      </c>
      <c r="J178" s="23" t="str">
        <f t="shared" si="14"/>
        <v/>
      </c>
      <c r="K178" s="18" t="str">
        <f t="shared" si="15"/>
        <v/>
      </c>
      <c r="L178" s="16" t="str">
        <f t="shared" ca="1" si="16"/>
        <v/>
      </c>
      <c r="M178" s="25" t="str">
        <f>IF(H178="","",IF(I178&lt;=0,"Shipped",IF(L178&lt;=AGE30,"Fresh",IF(L178&lt;=AGE60,"Watch",IF(L178&lt;=AGE90,"Aging","Old")))))</f>
        <v/>
      </c>
      <c r="N178" s="16" t="str">
        <f t="shared" si="17"/>
        <v/>
      </c>
    </row>
    <row r="179" spans="1:14" x14ac:dyDescent="0.2">
      <c r="A179" s="32"/>
      <c r="B179" s="27"/>
      <c r="C179" s="15" t="str">
        <f>IF(B179="","",IFERROR(INDEX(Items!$B$5:$B$19,MATCH(B179,Items!$A$5:$A$19,0)),"Unknown code"))</f>
        <v/>
      </c>
      <c r="D179" s="29"/>
      <c r="E179" s="18" t="str">
        <f>IF(B179="","",IFERROR(INDEX(Items!$C$5:$C$19,MATCH(B179,Items!$A$5:$A$19,0)),""))</f>
        <v/>
      </c>
      <c r="F179" s="18" t="str">
        <f t="shared" si="12"/>
        <v/>
      </c>
      <c r="G179" s="27"/>
      <c r="H179" s="23" t="str">
        <f>IF(OR(A179="",B179="",D179=""),"",IFERROR(INDEX(Items!$D$5:$D$19,MATCH(B179,Items!$A$5:$A$19,0))+SUMIFS(D$4:D178,B$4:B178,B179),""))</f>
        <v/>
      </c>
      <c r="I179" s="23" t="str">
        <f t="shared" si="13"/>
        <v/>
      </c>
      <c r="J179" s="23" t="str">
        <f t="shared" si="14"/>
        <v/>
      </c>
      <c r="K179" s="18" t="str">
        <f t="shared" si="15"/>
        <v/>
      </c>
      <c r="L179" s="16" t="str">
        <f t="shared" ca="1" si="16"/>
        <v/>
      </c>
      <c r="M179" s="25" t="str">
        <f>IF(H179="","",IF(I179&lt;=0,"Shipped",IF(L179&lt;=AGE30,"Fresh",IF(L179&lt;=AGE60,"Watch",IF(L179&lt;=AGE90,"Aging","Old")))))</f>
        <v/>
      </c>
      <c r="N179" s="16" t="str">
        <f t="shared" si="17"/>
        <v/>
      </c>
    </row>
    <row r="180" spans="1:14" x14ac:dyDescent="0.2">
      <c r="A180" s="32"/>
      <c r="B180" s="27"/>
      <c r="C180" s="15" t="str">
        <f>IF(B180="","",IFERROR(INDEX(Items!$B$5:$B$19,MATCH(B180,Items!$A$5:$A$19,0)),"Unknown code"))</f>
        <v/>
      </c>
      <c r="D180" s="29"/>
      <c r="E180" s="18" t="str">
        <f>IF(B180="","",IFERROR(INDEX(Items!$C$5:$C$19,MATCH(B180,Items!$A$5:$A$19,0)),""))</f>
        <v/>
      </c>
      <c r="F180" s="18" t="str">
        <f t="shared" si="12"/>
        <v/>
      </c>
      <c r="G180" s="27"/>
      <c r="H180" s="23" t="str">
        <f>IF(OR(A180="",B180="",D180=""),"",IFERROR(INDEX(Items!$D$5:$D$19,MATCH(B180,Items!$A$5:$A$19,0))+SUMIFS(D$4:D179,B$4:B179,B180),""))</f>
        <v/>
      </c>
      <c r="I180" s="23" t="str">
        <f t="shared" si="13"/>
        <v/>
      </c>
      <c r="J180" s="23" t="str">
        <f t="shared" si="14"/>
        <v/>
      </c>
      <c r="K180" s="18" t="str">
        <f t="shared" si="15"/>
        <v/>
      </c>
      <c r="L180" s="16" t="str">
        <f t="shared" ca="1" si="16"/>
        <v/>
      </c>
      <c r="M180" s="25" t="str">
        <f>IF(H180="","",IF(I180&lt;=0,"Shipped",IF(L180&lt;=AGE30,"Fresh",IF(L180&lt;=AGE60,"Watch",IF(L180&lt;=AGE90,"Aging","Old")))))</f>
        <v/>
      </c>
      <c r="N180" s="16" t="str">
        <f t="shared" si="17"/>
        <v/>
      </c>
    </row>
    <row r="181" spans="1:14" x14ac:dyDescent="0.2">
      <c r="A181" s="32"/>
      <c r="B181" s="27"/>
      <c r="C181" s="15" t="str">
        <f>IF(B181="","",IFERROR(INDEX(Items!$B$5:$B$19,MATCH(B181,Items!$A$5:$A$19,0)),"Unknown code"))</f>
        <v/>
      </c>
      <c r="D181" s="29"/>
      <c r="E181" s="18" t="str">
        <f>IF(B181="","",IFERROR(INDEX(Items!$C$5:$C$19,MATCH(B181,Items!$A$5:$A$19,0)),""))</f>
        <v/>
      </c>
      <c r="F181" s="18" t="str">
        <f t="shared" si="12"/>
        <v/>
      </c>
      <c r="G181" s="27"/>
      <c r="H181" s="23" t="str">
        <f>IF(OR(A181="",B181="",D181=""),"",IFERROR(INDEX(Items!$D$5:$D$19,MATCH(B181,Items!$A$5:$A$19,0))+SUMIFS(D$4:D180,B$4:B180,B181),""))</f>
        <v/>
      </c>
      <c r="I181" s="23" t="str">
        <f t="shared" si="13"/>
        <v/>
      </c>
      <c r="J181" s="23" t="str">
        <f t="shared" si="14"/>
        <v/>
      </c>
      <c r="K181" s="18" t="str">
        <f t="shared" si="15"/>
        <v/>
      </c>
      <c r="L181" s="16" t="str">
        <f t="shared" ca="1" si="16"/>
        <v/>
      </c>
      <c r="M181" s="25" t="str">
        <f>IF(H181="","",IF(I181&lt;=0,"Shipped",IF(L181&lt;=AGE30,"Fresh",IF(L181&lt;=AGE60,"Watch",IF(L181&lt;=AGE90,"Aging","Old")))))</f>
        <v/>
      </c>
      <c r="N181" s="16" t="str">
        <f t="shared" si="17"/>
        <v/>
      </c>
    </row>
    <row r="182" spans="1:14" x14ac:dyDescent="0.2">
      <c r="A182" s="32"/>
      <c r="B182" s="27"/>
      <c r="C182" s="15" t="str">
        <f>IF(B182="","",IFERROR(INDEX(Items!$B$5:$B$19,MATCH(B182,Items!$A$5:$A$19,0)),"Unknown code"))</f>
        <v/>
      </c>
      <c r="D182" s="29"/>
      <c r="E182" s="18" t="str">
        <f>IF(B182="","",IFERROR(INDEX(Items!$C$5:$C$19,MATCH(B182,Items!$A$5:$A$19,0)),""))</f>
        <v/>
      </c>
      <c r="F182" s="18" t="str">
        <f t="shared" si="12"/>
        <v/>
      </c>
      <c r="G182" s="27"/>
      <c r="H182" s="23" t="str">
        <f>IF(OR(A182="",B182="",D182=""),"",IFERROR(INDEX(Items!$D$5:$D$19,MATCH(B182,Items!$A$5:$A$19,0))+SUMIFS(D$4:D181,B$4:B181,B182),""))</f>
        <v/>
      </c>
      <c r="I182" s="23" t="str">
        <f t="shared" si="13"/>
        <v/>
      </c>
      <c r="J182" s="23" t="str">
        <f t="shared" si="14"/>
        <v/>
      </c>
      <c r="K182" s="18" t="str">
        <f t="shared" si="15"/>
        <v/>
      </c>
      <c r="L182" s="16" t="str">
        <f t="shared" ca="1" si="16"/>
        <v/>
      </c>
      <c r="M182" s="25" t="str">
        <f>IF(H182="","",IF(I182&lt;=0,"Shipped",IF(L182&lt;=AGE30,"Fresh",IF(L182&lt;=AGE60,"Watch",IF(L182&lt;=AGE90,"Aging","Old")))))</f>
        <v/>
      </c>
      <c r="N182" s="16" t="str">
        <f t="shared" si="17"/>
        <v/>
      </c>
    </row>
    <row r="183" spans="1:14" x14ac:dyDescent="0.2">
      <c r="A183" s="32"/>
      <c r="B183" s="27"/>
      <c r="C183" s="15" t="str">
        <f>IF(B183="","",IFERROR(INDEX(Items!$B$5:$B$19,MATCH(B183,Items!$A$5:$A$19,0)),"Unknown code"))</f>
        <v/>
      </c>
      <c r="D183" s="29"/>
      <c r="E183" s="18" t="str">
        <f>IF(B183="","",IFERROR(INDEX(Items!$C$5:$C$19,MATCH(B183,Items!$A$5:$A$19,0)),""))</f>
        <v/>
      </c>
      <c r="F183" s="18" t="str">
        <f t="shared" si="12"/>
        <v/>
      </c>
      <c r="G183" s="27"/>
      <c r="H183" s="23" t="str">
        <f>IF(OR(A183="",B183="",D183=""),"",IFERROR(INDEX(Items!$D$5:$D$19,MATCH(B183,Items!$A$5:$A$19,0))+SUMIFS(D$4:D182,B$4:B182,B183),""))</f>
        <v/>
      </c>
      <c r="I183" s="23" t="str">
        <f t="shared" si="13"/>
        <v/>
      </c>
      <c r="J183" s="23" t="str">
        <f t="shared" si="14"/>
        <v/>
      </c>
      <c r="K183" s="18" t="str">
        <f t="shared" si="15"/>
        <v/>
      </c>
      <c r="L183" s="16" t="str">
        <f t="shared" ca="1" si="16"/>
        <v/>
      </c>
      <c r="M183" s="25" t="str">
        <f>IF(H183="","",IF(I183&lt;=0,"Shipped",IF(L183&lt;=AGE30,"Fresh",IF(L183&lt;=AGE60,"Watch",IF(L183&lt;=AGE90,"Aging","Old")))))</f>
        <v/>
      </c>
      <c r="N183" s="16" t="str">
        <f t="shared" si="17"/>
        <v/>
      </c>
    </row>
    <row r="184" spans="1:14" x14ac:dyDescent="0.2">
      <c r="A184" s="32"/>
      <c r="B184" s="27"/>
      <c r="C184" s="15" t="str">
        <f>IF(B184="","",IFERROR(INDEX(Items!$B$5:$B$19,MATCH(B184,Items!$A$5:$A$19,0)),"Unknown code"))</f>
        <v/>
      </c>
      <c r="D184" s="29"/>
      <c r="E184" s="18" t="str">
        <f>IF(B184="","",IFERROR(INDEX(Items!$C$5:$C$19,MATCH(B184,Items!$A$5:$A$19,0)),""))</f>
        <v/>
      </c>
      <c r="F184" s="18" t="str">
        <f t="shared" si="12"/>
        <v/>
      </c>
      <c r="G184" s="27"/>
      <c r="H184" s="23" t="str">
        <f>IF(OR(A184="",B184="",D184=""),"",IFERROR(INDEX(Items!$D$5:$D$19,MATCH(B184,Items!$A$5:$A$19,0))+SUMIFS(D$4:D183,B$4:B183,B184),""))</f>
        <v/>
      </c>
      <c r="I184" s="23" t="str">
        <f t="shared" si="13"/>
        <v/>
      </c>
      <c r="J184" s="23" t="str">
        <f t="shared" si="14"/>
        <v/>
      </c>
      <c r="K184" s="18" t="str">
        <f t="shared" si="15"/>
        <v/>
      </c>
      <c r="L184" s="16" t="str">
        <f t="shared" ca="1" si="16"/>
        <v/>
      </c>
      <c r="M184" s="25" t="str">
        <f>IF(H184="","",IF(I184&lt;=0,"Shipped",IF(L184&lt;=AGE30,"Fresh",IF(L184&lt;=AGE60,"Watch",IF(L184&lt;=AGE90,"Aging","Old")))))</f>
        <v/>
      </c>
      <c r="N184" s="16" t="str">
        <f t="shared" si="17"/>
        <v/>
      </c>
    </row>
    <row r="185" spans="1:14" x14ac:dyDescent="0.2">
      <c r="A185" s="32"/>
      <c r="B185" s="27"/>
      <c r="C185" s="15" t="str">
        <f>IF(B185="","",IFERROR(INDEX(Items!$B$5:$B$19,MATCH(B185,Items!$A$5:$A$19,0)),"Unknown code"))</f>
        <v/>
      </c>
      <c r="D185" s="29"/>
      <c r="E185" s="18" t="str">
        <f>IF(B185="","",IFERROR(INDEX(Items!$C$5:$C$19,MATCH(B185,Items!$A$5:$A$19,0)),""))</f>
        <v/>
      </c>
      <c r="F185" s="18" t="str">
        <f t="shared" si="12"/>
        <v/>
      </c>
      <c r="G185" s="27"/>
      <c r="H185" s="23" t="str">
        <f>IF(OR(A185="",B185="",D185=""),"",IFERROR(INDEX(Items!$D$5:$D$19,MATCH(B185,Items!$A$5:$A$19,0))+SUMIFS(D$4:D184,B$4:B184,B185),""))</f>
        <v/>
      </c>
      <c r="I185" s="23" t="str">
        <f t="shared" si="13"/>
        <v/>
      </c>
      <c r="J185" s="23" t="str">
        <f t="shared" si="14"/>
        <v/>
      </c>
      <c r="K185" s="18" t="str">
        <f t="shared" si="15"/>
        <v/>
      </c>
      <c r="L185" s="16" t="str">
        <f t="shared" ca="1" si="16"/>
        <v/>
      </c>
      <c r="M185" s="25" t="str">
        <f>IF(H185="","",IF(I185&lt;=0,"Shipped",IF(L185&lt;=AGE30,"Fresh",IF(L185&lt;=AGE60,"Watch",IF(L185&lt;=AGE90,"Aging","Old")))))</f>
        <v/>
      </c>
      <c r="N185" s="16" t="str">
        <f t="shared" si="17"/>
        <v/>
      </c>
    </row>
    <row r="186" spans="1:14" x14ac:dyDescent="0.2">
      <c r="A186" s="32"/>
      <c r="B186" s="27"/>
      <c r="C186" s="15" t="str">
        <f>IF(B186="","",IFERROR(INDEX(Items!$B$5:$B$19,MATCH(B186,Items!$A$5:$A$19,0)),"Unknown code"))</f>
        <v/>
      </c>
      <c r="D186" s="29"/>
      <c r="E186" s="18" t="str">
        <f>IF(B186="","",IFERROR(INDEX(Items!$C$5:$C$19,MATCH(B186,Items!$A$5:$A$19,0)),""))</f>
        <v/>
      </c>
      <c r="F186" s="18" t="str">
        <f t="shared" si="12"/>
        <v/>
      </c>
      <c r="G186" s="27"/>
      <c r="H186" s="23" t="str">
        <f>IF(OR(A186="",B186="",D186=""),"",IFERROR(INDEX(Items!$D$5:$D$19,MATCH(B186,Items!$A$5:$A$19,0))+SUMIFS(D$4:D185,B$4:B185,B186),""))</f>
        <v/>
      </c>
      <c r="I186" s="23" t="str">
        <f t="shared" si="13"/>
        <v/>
      </c>
      <c r="J186" s="23" t="str">
        <f t="shared" si="14"/>
        <v/>
      </c>
      <c r="K186" s="18" t="str">
        <f t="shared" si="15"/>
        <v/>
      </c>
      <c r="L186" s="16" t="str">
        <f t="shared" ca="1" si="16"/>
        <v/>
      </c>
      <c r="M186" s="25" t="str">
        <f>IF(H186="","",IF(I186&lt;=0,"Shipped",IF(L186&lt;=AGE30,"Fresh",IF(L186&lt;=AGE60,"Watch",IF(L186&lt;=AGE90,"Aging","Old")))))</f>
        <v/>
      </c>
      <c r="N186" s="16" t="str">
        <f t="shared" si="17"/>
        <v/>
      </c>
    </row>
    <row r="187" spans="1:14" x14ac:dyDescent="0.2">
      <c r="A187" s="32"/>
      <c r="B187" s="27"/>
      <c r="C187" s="15" t="str">
        <f>IF(B187="","",IFERROR(INDEX(Items!$B$5:$B$19,MATCH(B187,Items!$A$5:$A$19,0)),"Unknown code"))</f>
        <v/>
      </c>
      <c r="D187" s="29"/>
      <c r="E187" s="18" t="str">
        <f>IF(B187="","",IFERROR(INDEX(Items!$C$5:$C$19,MATCH(B187,Items!$A$5:$A$19,0)),""))</f>
        <v/>
      </c>
      <c r="F187" s="18" t="str">
        <f t="shared" si="12"/>
        <v/>
      </c>
      <c r="G187" s="27"/>
      <c r="H187" s="23" t="str">
        <f>IF(OR(A187="",B187="",D187=""),"",IFERROR(INDEX(Items!$D$5:$D$19,MATCH(B187,Items!$A$5:$A$19,0))+SUMIFS(D$4:D186,B$4:B186,B187),""))</f>
        <v/>
      </c>
      <c r="I187" s="23" t="str">
        <f t="shared" si="13"/>
        <v/>
      </c>
      <c r="J187" s="23" t="str">
        <f t="shared" si="14"/>
        <v/>
      </c>
      <c r="K187" s="18" t="str">
        <f t="shared" si="15"/>
        <v/>
      </c>
      <c r="L187" s="16" t="str">
        <f t="shared" ca="1" si="16"/>
        <v/>
      </c>
      <c r="M187" s="25" t="str">
        <f>IF(H187="","",IF(I187&lt;=0,"Shipped",IF(L187&lt;=AGE30,"Fresh",IF(L187&lt;=AGE60,"Watch",IF(L187&lt;=AGE90,"Aging","Old")))))</f>
        <v/>
      </c>
      <c r="N187" s="16" t="str">
        <f t="shared" si="17"/>
        <v/>
      </c>
    </row>
    <row r="188" spans="1:14" x14ac:dyDescent="0.2">
      <c r="A188" s="32"/>
      <c r="B188" s="27"/>
      <c r="C188" s="15" t="str">
        <f>IF(B188="","",IFERROR(INDEX(Items!$B$5:$B$19,MATCH(B188,Items!$A$5:$A$19,0)),"Unknown code"))</f>
        <v/>
      </c>
      <c r="D188" s="29"/>
      <c r="E188" s="18" t="str">
        <f>IF(B188="","",IFERROR(INDEX(Items!$C$5:$C$19,MATCH(B188,Items!$A$5:$A$19,0)),""))</f>
        <v/>
      </c>
      <c r="F188" s="18" t="str">
        <f t="shared" si="12"/>
        <v/>
      </c>
      <c r="G188" s="27"/>
      <c r="H188" s="23" t="str">
        <f>IF(OR(A188="",B188="",D188=""),"",IFERROR(INDEX(Items!$D$5:$D$19,MATCH(B188,Items!$A$5:$A$19,0))+SUMIFS(D$4:D187,B$4:B187,B188),""))</f>
        <v/>
      </c>
      <c r="I188" s="23" t="str">
        <f t="shared" si="13"/>
        <v/>
      </c>
      <c r="J188" s="23" t="str">
        <f t="shared" si="14"/>
        <v/>
      </c>
      <c r="K188" s="18" t="str">
        <f t="shared" si="15"/>
        <v/>
      </c>
      <c r="L188" s="16" t="str">
        <f t="shared" ca="1" si="16"/>
        <v/>
      </c>
      <c r="M188" s="25" t="str">
        <f>IF(H188="","",IF(I188&lt;=0,"Shipped",IF(L188&lt;=AGE30,"Fresh",IF(L188&lt;=AGE60,"Watch",IF(L188&lt;=AGE90,"Aging","Old")))))</f>
        <v/>
      </c>
      <c r="N188" s="16" t="str">
        <f t="shared" si="17"/>
        <v/>
      </c>
    </row>
    <row r="189" spans="1:14" x14ac:dyDescent="0.2">
      <c r="A189" s="32"/>
      <c r="B189" s="27"/>
      <c r="C189" s="15" t="str">
        <f>IF(B189="","",IFERROR(INDEX(Items!$B$5:$B$19,MATCH(B189,Items!$A$5:$A$19,0)),"Unknown code"))</f>
        <v/>
      </c>
      <c r="D189" s="29"/>
      <c r="E189" s="18" t="str">
        <f>IF(B189="","",IFERROR(INDEX(Items!$C$5:$C$19,MATCH(B189,Items!$A$5:$A$19,0)),""))</f>
        <v/>
      </c>
      <c r="F189" s="18" t="str">
        <f t="shared" si="12"/>
        <v/>
      </c>
      <c r="G189" s="27"/>
      <c r="H189" s="23" t="str">
        <f>IF(OR(A189="",B189="",D189=""),"",IFERROR(INDEX(Items!$D$5:$D$19,MATCH(B189,Items!$A$5:$A$19,0))+SUMIFS(D$4:D188,B$4:B188,B189),""))</f>
        <v/>
      </c>
      <c r="I189" s="23" t="str">
        <f t="shared" si="13"/>
        <v/>
      </c>
      <c r="J189" s="23" t="str">
        <f t="shared" si="14"/>
        <v/>
      </c>
      <c r="K189" s="18" t="str">
        <f t="shared" si="15"/>
        <v/>
      </c>
      <c r="L189" s="16" t="str">
        <f t="shared" ca="1" si="16"/>
        <v/>
      </c>
      <c r="M189" s="25" t="str">
        <f>IF(H189="","",IF(I189&lt;=0,"Shipped",IF(L189&lt;=AGE30,"Fresh",IF(L189&lt;=AGE60,"Watch",IF(L189&lt;=AGE90,"Aging","Old")))))</f>
        <v/>
      </c>
      <c r="N189" s="16" t="str">
        <f t="shared" si="17"/>
        <v/>
      </c>
    </row>
    <row r="190" spans="1:14" x14ac:dyDescent="0.2">
      <c r="A190" s="32"/>
      <c r="B190" s="27"/>
      <c r="C190" s="15" t="str">
        <f>IF(B190="","",IFERROR(INDEX(Items!$B$5:$B$19,MATCH(B190,Items!$A$5:$A$19,0)),"Unknown code"))</f>
        <v/>
      </c>
      <c r="D190" s="29"/>
      <c r="E190" s="18" t="str">
        <f>IF(B190="","",IFERROR(INDEX(Items!$C$5:$C$19,MATCH(B190,Items!$A$5:$A$19,0)),""))</f>
        <v/>
      </c>
      <c r="F190" s="18" t="str">
        <f t="shared" si="12"/>
        <v/>
      </c>
      <c r="G190" s="27"/>
      <c r="H190" s="23" t="str">
        <f>IF(OR(A190="",B190="",D190=""),"",IFERROR(INDEX(Items!$D$5:$D$19,MATCH(B190,Items!$A$5:$A$19,0))+SUMIFS(D$4:D189,B$4:B189,B190),""))</f>
        <v/>
      </c>
      <c r="I190" s="23" t="str">
        <f t="shared" si="13"/>
        <v/>
      </c>
      <c r="J190" s="23" t="str">
        <f t="shared" si="14"/>
        <v/>
      </c>
      <c r="K190" s="18" t="str">
        <f t="shared" si="15"/>
        <v/>
      </c>
      <c r="L190" s="16" t="str">
        <f t="shared" ca="1" si="16"/>
        <v/>
      </c>
      <c r="M190" s="25" t="str">
        <f>IF(H190="","",IF(I190&lt;=0,"Shipped",IF(L190&lt;=AGE30,"Fresh",IF(L190&lt;=AGE60,"Watch",IF(L190&lt;=AGE90,"Aging","Old")))))</f>
        <v/>
      </c>
      <c r="N190" s="16" t="str">
        <f t="shared" si="17"/>
        <v/>
      </c>
    </row>
    <row r="191" spans="1:14" x14ac:dyDescent="0.2">
      <c r="A191" s="32"/>
      <c r="B191" s="27"/>
      <c r="C191" s="15" t="str">
        <f>IF(B191="","",IFERROR(INDEX(Items!$B$5:$B$19,MATCH(B191,Items!$A$5:$A$19,0)),"Unknown code"))</f>
        <v/>
      </c>
      <c r="D191" s="29"/>
      <c r="E191" s="18" t="str">
        <f>IF(B191="","",IFERROR(INDEX(Items!$C$5:$C$19,MATCH(B191,Items!$A$5:$A$19,0)),""))</f>
        <v/>
      </c>
      <c r="F191" s="18" t="str">
        <f t="shared" si="12"/>
        <v/>
      </c>
      <c r="G191" s="27"/>
      <c r="H191" s="23" t="str">
        <f>IF(OR(A191="",B191="",D191=""),"",IFERROR(INDEX(Items!$D$5:$D$19,MATCH(B191,Items!$A$5:$A$19,0))+SUMIFS(D$4:D190,B$4:B190,B191),""))</f>
        <v/>
      </c>
      <c r="I191" s="23" t="str">
        <f t="shared" si="13"/>
        <v/>
      </c>
      <c r="J191" s="23" t="str">
        <f t="shared" si="14"/>
        <v/>
      </c>
      <c r="K191" s="18" t="str">
        <f t="shared" si="15"/>
        <v/>
      </c>
      <c r="L191" s="16" t="str">
        <f t="shared" ca="1" si="16"/>
        <v/>
      </c>
      <c r="M191" s="25" t="str">
        <f>IF(H191="","",IF(I191&lt;=0,"Shipped",IF(L191&lt;=AGE30,"Fresh",IF(L191&lt;=AGE60,"Watch",IF(L191&lt;=AGE90,"Aging","Old")))))</f>
        <v/>
      </c>
      <c r="N191" s="16" t="str">
        <f t="shared" si="17"/>
        <v/>
      </c>
    </row>
    <row r="192" spans="1:14" x14ac:dyDescent="0.2">
      <c r="A192" s="32"/>
      <c r="B192" s="27"/>
      <c r="C192" s="15" t="str">
        <f>IF(B192="","",IFERROR(INDEX(Items!$B$5:$B$19,MATCH(B192,Items!$A$5:$A$19,0)),"Unknown code"))</f>
        <v/>
      </c>
      <c r="D192" s="29"/>
      <c r="E192" s="18" t="str">
        <f>IF(B192="","",IFERROR(INDEX(Items!$C$5:$C$19,MATCH(B192,Items!$A$5:$A$19,0)),""))</f>
        <v/>
      </c>
      <c r="F192" s="18" t="str">
        <f t="shared" si="12"/>
        <v/>
      </c>
      <c r="G192" s="27"/>
      <c r="H192" s="23" t="str">
        <f>IF(OR(A192="",B192="",D192=""),"",IFERROR(INDEX(Items!$D$5:$D$19,MATCH(B192,Items!$A$5:$A$19,0))+SUMIFS(D$4:D191,B$4:B191,B192),""))</f>
        <v/>
      </c>
      <c r="I192" s="23" t="str">
        <f t="shared" si="13"/>
        <v/>
      </c>
      <c r="J192" s="23" t="str">
        <f t="shared" si="14"/>
        <v/>
      </c>
      <c r="K192" s="18" t="str">
        <f t="shared" si="15"/>
        <v/>
      </c>
      <c r="L192" s="16" t="str">
        <f t="shared" ca="1" si="16"/>
        <v/>
      </c>
      <c r="M192" s="25" t="str">
        <f>IF(H192="","",IF(I192&lt;=0,"Shipped",IF(L192&lt;=AGE30,"Fresh",IF(L192&lt;=AGE60,"Watch",IF(L192&lt;=AGE90,"Aging","Old")))))</f>
        <v/>
      </c>
      <c r="N192" s="16" t="str">
        <f t="shared" si="17"/>
        <v/>
      </c>
    </row>
    <row r="193" spans="1:14" x14ac:dyDescent="0.2">
      <c r="A193" s="32"/>
      <c r="B193" s="27"/>
      <c r="C193" s="15" t="str">
        <f>IF(B193="","",IFERROR(INDEX(Items!$B$5:$B$19,MATCH(B193,Items!$A$5:$A$19,0)),"Unknown code"))</f>
        <v/>
      </c>
      <c r="D193" s="29"/>
      <c r="E193" s="18" t="str">
        <f>IF(B193="","",IFERROR(INDEX(Items!$C$5:$C$19,MATCH(B193,Items!$A$5:$A$19,0)),""))</f>
        <v/>
      </c>
      <c r="F193" s="18" t="str">
        <f t="shared" si="12"/>
        <v/>
      </c>
      <c r="G193" s="27"/>
      <c r="H193" s="23" t="str">
        <f>IF(OR(A193="",B193="",D193=""),"",IFERROR(INDEX(Items!$D$5:$D$19,MATCH(B193,Items!$A$5:$A$19,0))+SUMIFS(D$4:D192,B$4:B192,B193),""))</f>
        <v/>
      </c>
      <c r="I193" s="23" t="str">
        <f t="shared" si="13"/>
        <v/>
      </c>
      <c r="J193" s="23" t="str">
        <f t="shared" si="14"/>
        <v/>
      </c>
      <c r="K193" s="18" t="str">
        <f t="shared" si="15"/>
        <v/>
      </c>
      <c r="L193" s="16" t="str">
        <f t="shared" ca="1" si="16"/>
        <v/>
      </c>
      <c r="M193" s="25" t="str">
        <f>IF(H193="","",IF(I193&lt;=0,"Shipped",IF(L193&lt;=AGE30,"Fresh",IF(L193&lt;=AGE60,"Watch",IF(L193&lt;=AGE90,"Aging","Old")))))</f>
        <v/>
      </c>
      <c r="N193" s="16" t="str">
        <f t="shared" si="17"/>
        <v/>
      </c>
    </row>
    <row r="194" spans="1:14" x14ac:dyDescent="0.2">
      <c r="A194" s="32"/>
      <c r="B194" s="27"/>
      <c r="C194" s="15" t="str">
        <f>IF(B194="","",IFERROR(INDEX(Items!$B$5:$B$19,MATCH(B194,Items!$A$5:$A$19,0)),"Unknown code"))</f>
        <v/>
      </c>
      <c r="D194" s="29"/>
      <c r="E194" s="18" t="str">
        <f>IF(B194="","",IFERROR(INDEX(Items!$C$5:$C$19,MATCH(B194,Items!$A$5:$A$19,0)),""))</f>
        <v/>
      </c>
      <c r="F194" s="18" t="str">
        <f t="shared" si="12"/>
        <v/>
      </c>
      <c r="G194" s="27"/>
      <c r="H194" s="23" t="str">
        <f>IF(OR(A194="",B194="",D194=""),"",IFERROR(INDEX(Items!$D$5:$D$19,MATCH(B194,Items!$A$5:$A$19,0))+SUMIFS(D$4:D193,B$4:B193,B194),""))</f>
        <v/>
      </c>
      <c r="I194" s="23" t="str">
        <f t="shared" si="13"/>
        <v/>
      </c>
      <c r="J194" s="23" t="str">
        <f t="shared" si="14"/>
        <v/>
      </c>
      <c r="K194" s="18" t="str">
        <f t="shared" si="15"/>
        <v/>
      </c>
      <c r="L194" s="16" t="str">
        <f t="shared" ca="1" si="16"/>
        <v/>
      </c>
      <c r="M194" s="25" t="str">
        <f>IF(H194="","",IF(I194&lt;=0,"Shipped",IF(L194&lt;=AGE30,"Fresh",IF(L194&lt;=AGE60,"Watch",IF(L194&lt;=AGE90,"Aging","Old")))))</f>
        <v/>
      </c>
      <c r="N194" s="16" t="str">
        <f t="shared" si="17"/>
        <v/>
      </c>
    </row>
    <row r="195" spans="1:14" x14ac:dyDescent="0.2">
      <c r="A195" s="32"/>
      <c r="B195" s="27"/>
      <c r="C195" s="15" t="str">
        <f>IF(B195="","",IFERROR(INDEX(Items!$B$5:$B$19,MATCH(B195,Items!$A$5:$A$19,0)),"Unknown code"))</f>
        <v/>
      </c>
      <c r="D195" s="29"/>
      <c r="E195" s="18" t="str">
        <f>IF(B195="","",IFERROR(INDEX(Items!$C$5:$C$19,MATCH(B195,Items!$A$5:$A$19,0)),""))</f>
        <v/>
      </c>
      <c r="F195" s="18" t="str">
        <f t="shared" si="12"/>
        <v/>
      </c>
      <c r="G195" s="27"/>
      <c r="H195" s="23" t="str">
        <f>IF(OR(A195="",B195="",D195=""),"",IFERROR(INDEX(Items!$D$5:$D$19,MATCH(B195,Items!$A$5:$A$19,0))+SUMIFS(D$4:D194,B$4:B194,B195),""))</f>
        <v/>
      </c>
      <c r="I195" s="23" t="str">
        <f t="shared" si="13"/>
        <v/>
      </c>
      <c r="J195" s="23" t="str">
        <f t="shared" si="14"/>
        <v/>
      </c>
      <c r="K195" s="18" t="str">
        <f t="shared" si="15"/>
        <v/>
      </c>
      <c r="L195" s="16" t="str">
        <f t="shared" ca="1" si="16"/>
        <v/>
      </c>
      <c r="M195" s="25" t="str">
        <f>IF(H195="","",IF(I195&lt;=0,"Shipped",IF(L195&lt;=AGE30,"Fresh",IF(L195&lt;=AGE60,"Watch",IF(L195&lt;=AGE90,"Aging","Old")))))</f>
        <v/>
      </c>
      <c r="N195" s="16" t="str">
        <f t="shared" si="17"/>
        <v/>
      </c>
    </row>
    <row r="196" spans="1:14" x14ac:dyDescent="0.2">
      <c r="A196" s="32"/>
      <c r="B196" s="27"/>
      <c r="C196" s="15" t="str">
        <f>IF(B196="","",IFERROR(INDEX(Items!$B$5:$B$19,MATCH(B196,Items!$A$5:$A$19,0)),"Unknown code"))</f>
        <v/>
      </c>
      <c r="D196" s="29"/>
      <c r="E196" s="18" t="str">
        <f>IF(B196="","",IFERROR(INDEX(Items!$C$5:$C$19,MATCH(B196,Items!$A$5:$A$19,0)),""))</f>
        <v/>
      </c>
      <c r="F196" s="18" t="str">
        <f t="shared" si="12"/>
        <v/>
      </c>
      <c r="G196" s="27"/>
      <c r="H196" s="23" t="str">
        <f>IF(OR(A196="",B196="",D196=""),"",IFERROR(INDEX(Items!$D$5:$D$19,MATCH(B196,Items!$A$5:$A$19,0))+SUMIFS(D$4:D195,B$4:B195,B196),""))</f>
        <v/>
      </c>
      <c r="I196" s="23" t="str">
        <f t="shared" si="13"/>
        <v/>
      </c>
      <c r="J196" s="23" t="str">
        <f t="shared" si="14"/>
        <v/>
      </c>
      <c r="K196" s="18" t="str">
        <f t="shared" si="15"/>
        <v/>
      </c>
      <c r="L196" s="16" t="str">
        <f t="shared" ca="1" si="16"/>
        <v/>
      </c>
      <c r="M196" s="25" t="str">
        <f>IF(H196="","",IF(I196&lt;=0,"Shipped",IF(L196&lt;=AGE30,"Fresh",IF(L196&lt;=AGE60,"Watch",IF(L196&lt;=AGE90,"Aging","Old")))))</f>
        <v/>
      </c>
      <c r="N196" s="16" t="str">
        <f t="shared" si="17"/>
        <v/>
      </c>
    </row>
    <row r="197" spans="1:14" x14ac:dyDescent="0.2">
      <c r="A197" s="32"/>
      <c r="B197" s="27"/>
      <c r="C197" s="15" t="str">
        <f>IF(B197="","",IFERROR(INDEX(Items!$B$5:$B$19,MATCH(B197,Items!$A$5:$A$19,0)),"Unknown code"))</f>
        <v/>
      </c>
      <c r="D197" s="29"/>
      <c r="E197" s="18" t="str">
        <f>IF(B197="","",IFERROR(INDEX(Items!$C$5:$C$19,MATCH(B197,Items!$A$5:$A$19,0)),""))</f>
        <v/>
      </c>
      <c r="F197" s="18" t="str">
        <f t="shared" ref="F197:F260" si="18">IF(OR(D197="",E197=""),"",D197*E197)</f>
        <v/>
      </c>
      <c r="G197" s="27"/>
      <c r="H197" s="23" t="str">
        <f>IF(OR(A197="",B197="",D197=""),"",IFERROR(INDEX(Items!$D$5:$D$19,MATCH(B197,Items!$A$5:$A$19,0))+SUMIFS(D$4:D196,B$4:B196,B197),""))</f>
        <v/>
      </c>
      <c r="I197" s="23" t="str">
        <f t="shared" ref="I197:I260" si="19">IF(H197="","",MAX(0,MIN(D197,H197+D197-TotalShipped)))</f>
        <v/>
      </c>
      <c r="J197" s="23" t="str">
        <f t="shared" ref="J197:J260" si="20">IF(H197="","",D197-I197)</f>
        <v/>
      </c>
      <c r="K197" s="18" t="str">
        <f t="shared" ref="K197:K260" si="21">IF(OR(H197="",E197=""),"",I197*E197)</f>
        <v/>
      </c>
      <c r="L197" s="16" t="str">
        <f t="shared" ref="L197:L260" ca="1" si="22">IF(H197="","",IF(I197&gt;0,TODAY()-A197,""))</f>
        <v/>
      </c>
      <c r="M197" s="25" t="str">
        <f>IF(H197="","",IF(I197&lt;=0,"Shipped",IF(L197&lt;=AGE30,"Fresh",IF(L197&lt;=AGE60,"Watch",IF(L197&lt;=AGE90,"Aging","Old")))))</f>
        <v/>
      </c>
      <c r="N197" s="16" t="str">
        <f t="shared" ref="N197:N260" si="23">IF(H197="","",J197*A197)</f>
        <v/>
      </c>
    </row>
    <row r="198" spans="1:14" x14ac:dyDescent="0.2">
      <c r="A198" s="32"/>
      <c r="B198" s="27"/>
      <c r="C198" s="15" t="str">
        <f>IF(B198="","",IFERROR(INDEX(Items!$B$5:$B$19,MATCH(B198,Items!$A$5:$A$19,0)),"Unknown code"))</f>
        <v/>
      </c>
      <c r="D198" s="29"/>
      <c r="E198" s="18" t="str">
        <f>IF(B198="","",IFERROR(INDEX(Items!$C$5:$C$19,MATCH(B198,Items!$A$5:$A$19,0)),""))</f>
        <v/>
      </c>
      <c r="F198" s="18" t="str">
        <f t="shared" si="18"/>
        <v/>
      </c>
      <c r="G198" s="27"/>
      <c r="H198" s="23" t="str">
        <f>IF(OR(A198="",B198="",D198=""),"",IFERROR(INDEX(Items!$D$5:$D$19,MATCH(B198,Items!$A$5:$A$19,0))+SUMIFS(D$4:D197,B$4:B197,B198),""))</f>
        <v/>
      </c>
      <c r="I198" s="23" t="str">
        <f t="shared" si="19"/>
        <v/>
      </c>
      <c r="J198" s="23" t="str">
        <f t="shared" si="20"/>
        <v/>
      </c>
      <c r="K198" s="18" t="str">
        <f t="shared" si="21"/>
        <v/>
      </c>
      <c r="L198" s="16" t="str">
        <f t="shared" ca="1" si="22"/>
        <v/>
      </c>
      <c r="M198" s="25" t="str">
        <f>IF(H198="","",IF(I198&lt;=0,"Shipped",IF(L198&lt;=AGE30,"Fresh",IF(L198&lt;=AGE60,"Watch",IF(L198&lt;=AGE90,"Aging","Old")))))</f>
        <v/>
      </c>
      <c r="N198" s="16" t="str">
        <f t="shared" si="23"/>
        <v/>
      </c>
    </row>
    <row r="199" spans="1:14" x14ac:dyDescent="0.2">
      <c r="A199" s="32"/>
      <c r="B199" s="27"/>
      <c r="C199" s="15" t="str">
        <f>IF(B199="","",IFERROR(INDEX(Items!$B$5:$B$19,MATCH(B199,Items!$A$5:$A$19,0)),"Unknown code"))</f>
        <v/>
      </c>
      <c r="D199" s="29"/>
      <c r="E199" s="18" t="str">
        <f>IF(B199="","",IFERROR(INDEX(Items!$C$5:$C$19,MATCH(B199,Items!$A$5:$A$19,0)),""))</f>
        <v/>
      </c>
      <c r="F199" s="18" t="str">
        <f t="shared" si="18"/>
        <v/>
      </c>
      <c r="G199" s="27"/>
      <c r="H199" s="23" t="str">
        <f>IF(OR(A199="",B199="",D199=""),"",IFERROR(INDEX(Items!$D$5:$D$19,MATCH(B199,Items!$A$5:$A$19,0))+SUMIFS(D$4:D198,B$4:B198,B199),""))</f>
        <v/>
      </c>
      <c r="I199" s="23" t="str">
        <f t="shared" si="19"/>
        <v/>
      </c>
      <c r="J199" s="23" t="str">
        <f t="shared" si="20"/>
        <v/>
      </c>
      <c r="K199" s="18" t="str">
        <f t="shared" si="21"/>
        <v/>
      </c>
      <c r="L199" s="16" t="str">
        <f t="shared" ca="1" si="22"/>
        <v/>
      </c>
      <c r="M199" s="25" t="str">
        <f>IF(H199="","",IF(I199&lt;=0,"Shipped",IF(L199&lt;=AGE30,"Fresh",IF(L199&lt;=AGE60,"Watch",IF(L199&lt;=AGE90,"Aging","Old")))))</f>
        <v/>
      </c>
      <c r="N199" s="16" t="str">
        <f t="shared" si="23"/>
        <v/>
      </c>
    </row>
    <row r="200" spans="1:14" x14ac:dyDescent="0.2">
      <c r="A200" s="32"/>
      <c r="B200" s="27"/>
      <c r="C200" s="15" t="str">
        <f>IF(B200="","",IFERROR(INDEX(Items!$B$5:$B$19,MATCH(B200,Items!$A$5:$A$19,0)),"Unknown code"))</f>
        <v/>
      </c>
      <c r="D200" s="29"/>
      <c r="E200" s="18" t="str">
        <f>IF(B200="","",IFERROR(INDEX(Items!$C$5:$C$19,MATCH(B200,Items!$A$5:$A$19,0)),""))</f>
        <v/>
      </c>
      <c r="F200" s="18" t="str">
        <f t="shared" si="18"/>
        <v/>
      </c>
      <c r="G200" s="27"/>
      <c r="H200" s="23" t="str">
        <f>IF(OR(A200="",B200="",D200=""),"",IFERROR(INDEX(Items!$D$5:$D$19,MATCH(B200,Items!$A$5:$A$19,0))+SUMIFS(D$4:D199,B$4:B199,B200),""))</f>
        <v/>
      </c>
      <c r="I200" s="23" t="str">
        <f t="shared" si="19"/>
        <v/>
      </c>
      <c r="J200" s="23" t="str">
        <f t="shared" si="20"/>
        <v/>
      </c>
      <c r="K200" s="18" t="str">
        <f t="shared" si="21"/>
        <v/>
      </c>
      <c r="L200" s="16" t="str">
        <f t="shared" ca="1" si="22"/>
        <v/>
      </c>
      <c r="M200" s="25" t="str">
        <f>IF(H200="","",IF(I200&lt;=0,"Shipped",IF(L200&lt;=AGE30,"Fresh",IF(L200&lt;=AGE60,"Watch",IF(L200&lt;=AGE90,"Aging","Old")))))</f>
        <v/>
      </c>
      <c r="N200" s="16" t="str">
        <f t="shared" si="23"/>
        <v/>
      </c>
    </row>
    <row r="201" spans="1:14" x14ac:dyDescent="0.2">
      <c r="A201" s="32"/>
      <c r="B201" s="27"/>
      <c r="C201" s="15" t="str">
        <f>IF(B201="","",IFERROR(INDEX(Items!$B$5:$B$19,MATCH(B201,Items!$A$5:$A$19,0)),"Unknown code"))</f>
        <v/>
      </c>
      <c r="D201" s="29"/>
      <c r="E201" s="18" t="str">
        <f>IF(B201="","",IFERROR(INDEX(Items!$C$5:$C$19,MATCH(B201,Items!$A$5:$A$19,0)),""))</f>
        <v/>
      </c>
      <c r="F201" s="18" t="str">
        <f t="shared" si="18"/>
        <v/>
      </c>
      <c r="G201" s="27"/>
      <c r="H201" s="23" t="str">
        <f>IF(OR(A201="",B201="",D201=""),"",IFERROR(INDEX(Items!$D$5:$D$19,MATCH(B201,Items!$A$5:$A$19,0))+SUMIFS(D$4:D200,B$4:B200,B201),""))</f>
        <v/>
      </c>
      <c r="I201" s="23" t="str">
        <f t="shared" si="19"/>
        <v/>
      </c>
      <c r="J201" s="23" t="str">
        <f t="shared" si="20"/>
        <v/>
      </c>
      <c r="K201" s="18" t="str">
        <f t="shared" si="21"/>
        <v/>
      </c>
      <c r="L201" s="16" t="str">
        <f t="shared" ca="1" si="22"/>
        <v/>
      </c>
      <c r="M201" s="25" t="str">
        <f>IF(H201="","",IF(I201&lt;=0,"Shipped",IF(L201&lt;=AGE30,"Fresh",IF(L201&lt;=AGE60,"Watch",IF(L201&lt;=AGE90,"Aging","Old")))))</f>
        <v/>
      </c>
      <c r="N201" s="16" t="str">
        <f t="shared" si="23"/>
        <v/>
      </c>
    </row>
    <row r="202" spans="1:14" x14ac:dyDescent="0.2">
      <c r="A202" s="32"/>
      <c r="B202" s="27"/>
      <c r="C202" s="15" t="str">
        <f>IF(B202="","",IFERROR(INDEX(Items!$B$5:$B$19,MATCH(B202,Items!$A$5:$A$19,0)),"Unknown code"))</f>
        <v/>
      </c>
      <c r="D202" s="29"/>
      <c r="E202" s="18" t="str">
        <f>IF(B202="","",IFERROR(INDEX(Items!$C$5:$C$19,MATCH(B202,Items!$A$5:$A$19,0)),""))</f>
        <v/>
      </c>
      <c r="F202" s="18" t="str">
        <f t="shared" si="18"/>
        <v/>
      </c>
      <c r="G202" s="27"/>
      <c r="H202" s="23" t="str">
        <f>IF(OR(A202="",B202="",D202=""),"",IFERROR(INDEX(Items!$D$5:$D$19,MATCH(B202,Items!$A$5:$A$19,0))+SUMIFS(D$4:D201,B$4:B201,B202),""))</f>
        <v/>
      </c>
      <c r="I202" s="23" t="str">
        <f t="shared" si="19"/>
        <v/>
      </c>
      <c r="J202" s="23" t="str">
        <f t="shared" si="20"/>
        <v/>
      </c>
      <c r="K202" s="18" t="str">
        <f t="shared" si="21"/>
        <v/>
      </c>
      <c r="L202" s="16" t="str">
        <f t="shared" ca="1" si="22"/>
        <v/>
      </c>
      <c r="M202" s="25" t="str">
        <f>IF(H202="","",IF(I202&lt;=0,"Shipped",IF(L202&lt;=AGE30,"Fresh",IF(L202&lt;=AGE60,"Watch",IF(L202&lt;=AGE90,"Aging","Old")))))</f>
        <v/>
      </c>
      <c r="N202" s="16" t="str">
        <f t="shared" si="23"/>
        <v/>
      </c>
    </row>
    <row r="203" spans="1:14" x14ac:dyDescent="0.2">
      <c r="A203" s="32"/>
      <c r="B203" s="27"/>
      <c r="C203" s="15" t="str">
        <f>IF(B203="","",IFERROR(INDEX(Items!$B$5:$B$19,MATCH(B203,Items!$A$5:$A$19,0)),"Unknown code"))</f>
        <v/>
      </c>
      <c r="D203" s="29"/>
      <c r="E203" s="18" t="str">
        <f>IF(B203="","",IFERROR(INDEX(Items!$C$5:$C$19,MATCH(B203,Items!$A$5:$A$19,0)),""))</f>
        <v/>
      </c>
      <c r="F203" s="18" t="str">
        <f t="shared" si="18"/>
        <v/>
      </c>
      <c r="G203" s="27"/>
      <c r="H203" s="23" t="str">
        <f>IF(OR(A203="",B203="",D203=""),"",IFERROR(INDEX(Items!$D$5:$D$19,MATCH(B203,Items!$A$5:$A$19,0))+SUMIFS(D$4:D202,B$4:B202,B203),""))</f>
        <v/>
      </c>
      <c r="I203" s="23" t="str">
        <f t="shared" si="19"/>
        <v/>
      </c>
      <c r="J203" s="23" t="str">
        <f t="shared" si="20"/>
        <v/>
      </c>
      <c r="K203" s="18" t="str">
        <f t="shared" si="21"/>
        <v/>
      </c>
      <c r="L203" s="16" t="str">
        <f t="shared" ca="1" si="22"/>
        <v/>
      </c>
      <c r="M203" s="25" t="str">
        <f>IF(H203="","",IF(I203&lt;=0,"Shipped",IF(L203&lt;=AGE30,"Fresh",IF(L203&lt;=AGE60,"Watch",IF(L203&lt;=AGE90,"Aging","Old")))))</f>
        <v/>
      </c>
      <c r="N203" s="16" t="str">
        <f t="shared" si="23"/>
        <v/>
      </c>
    </row>
    <row r="204" spans="1:14" x14ac:dyDescent="0.2">
      <c r="A204" s="32"/>
      <c r="B204" s="27"/>
      <c r="C204" s="15" t="str">
        <f>IF(B204="","",IFERROR(INDEX(Items!$B$5:$B$19,MATCH(B204,Items!$A$5:$A$19,0)),"Unknown code"))</f>
        <v/>
      </c>
      <c r="D204" s="29"/>
      <c r="E204" s="18" t="str">
        <f>IF(B204="","",IFERROR(INDEX(Items!$C$5:$C$19,MATCH(B204,Items!$A$5:$A$19,0)),""))</f>
        <v/>
      </c>
      <c r="F204" s="18" t="str">
        <f t="shared" si="18"/>
        <v/>
      </c>
      <c r="G204" s="27"/>
      <c r="H204" s="23" t="str">
        <f>IF(OR(A204="",B204="",D204=""),"",IFERROR(INDEX(Items!$D$5:$D$19,MATCH(B204,Items!$A$5:$A$19,0))+SUMIFS(D$4:D203,B$4:B203,B204),""))</f>
        <v/>
      </c>
      <c r="I204" s="23" t="str">
        <f t="shared" si="19"/>
        <v/>
      </c>
      <c r="J204" s="23" t="str">
        <f t="shared" si="20"/>
        <v/>
      </c>
      <c r="K204" s="18" t="str">
        <f t="shared" si="21"/>
        <v/>
      </c>
      <c r="L204" s="16" t="str">
        <f t="shared" ca="1" si="22"/>
        <v/>
      </c>
      <c r="M204" s="25" t="str">
        <f>IF(H204="","",IF(I204&lt;=0,"Shipped",IF(L204&lt;=AGE30,"Fresh",IF(L204&lt;=AGE60,"Watch",IF(L204&lt;=AGE90,"Aging","Old")))))</f>
        <v/>
      </c>
      <c r="N204" s="16" t="str">
        <f t="shared" si="23"/>
        <v/>
      </c>
    </row>
    <row r="205" spans="1:14" x14ac:dyDescent="0.2">
      <c r="A205" s="32"/>
      <c r="B205" s="27"/>
      <c r="C205" s="15" t="str">
        <f>IF(B205="","",IFERROR(INDEX(Items!$B$5:$B$19,MATCH(B205,Items!$A$5:$A$19,0)),"Unknown code"))</f>
        <v/>
      </c>
      <c r="D205" s="29"/>
      <c r="E205" s="18" t="str">
        <f>IF(B205="","",IFERROR(INDEX(Items!$C$5:$C$19,MATCH(B205,Items!$A$5:$A$19,0)),""))</f>
        <v/>
      </c>
      <c r="F205" s="18" t="str">
        <f t="shared" si="18"/>
        <v/>
      </c>
      <c r="G205" s="27"/>
      <c r="H205" s="23" t="str">
        <f>IF(OR(A205="",B205="",D205=""),"",IFERROR(INDEX(Items!$D$5:$D$19,MATCH(B205,Items!$A$5:$A$19,0))+SUMIFS(D$4:D204,B$4:B204,B205),""))</f>
        <v/>
      </c>
      <c r="I205" s="23" t="str">
        <f t="shared" si="19"/>
        <v/>
      </c>
      <c r="J205" s="23" t="str">
        <f t="shared" si="20"/>
        <v/>
      </c>
      <c r="K205" s="18" t="str">
        <f t="shared" si="21"/>
        <v/>
      </c>
      <c r="L205" s="16" t="str">
        <f t="shared" ca="1" si="22"/>
        <v/>
      </c>
      <c r="M205" s="25" t="str">
        <f>IF(H205="","",IF(I205&lt;=0,"Shipped",IF(L205&lt;=AGE30,"Fresh",IF(L205&lt;=AGE60,"Watch",IF(L205&lt;=AGE90,"Aging","Old")))))</f>
        <v/>
      </c>
      <c r="N205" s="16" t="str">
        <f t="shared" si="23"/>
        <v/>
      </c>
    </row>
    <row r="206" spans="1:14" x14ac:dyDescent="0.2">
      <c r="A206" s="32"/>
      <c r="B206" s="27"/>
      <c r="C206" s="15" t="str">
        <f>IF(B206="","",IFERROR(INDEX(Items!$B$5:$B$19,MATCH(B206,Items!$A$5:$A$19,0)),"Unknown code"))</f>
        <v/>
      </c>
      <c r="D206" s="29"/>
      <c r="E206" s="18" t="str">
        <f>IF(B206="","",IFERROR(INDEX(Items!$C$5:$C$19,MATCH(B206,Items!$A$5:$A$19,0)),""))</f>
        <v/>
      </c>
      <c r="F206" s="18" t="str">
        <f t="shared" si="18"/>
        <v/>
      </c>
      <c r="G206" s="27"/>
      <c r="H206" s="23" t="str">
        <f>IF(OR(A206="",B206="",D206=""),"",IFERROR(INDEX(Items!$D$5:$D$19,MATCH(B206,Items!$A$5:$A$19,0))+SUMIFS(D$4:D205,B$4:B205,B206),""))</f>
        <v/>
      </c>
      <c r="I206" s="23" t="str">
        <f t="shared" si="19"/>
        <v/>
      </c>
      <c r="J206" s="23" t="str">
        <f t="shared" si="20"/>
        <v/>
      </c>
      <c r="K206" s="18" t="str">
        <f t="shared" si="21"/>
        <v/>
      </c>
      <c r="L206" s="16" t="str">
        <f t="shared" ca="1" si="22"/>
        <v/>
      </c>
      <c r="M206" s="25" t="str">
        <f>IF(H206="","",IF(I206&lt;=0,"Shipped",IF(L206&lt;=AGE30,"Fresh",IF(L206&lt;=AGE60,"Watch",IF(L206&lt;=AGE90,"Aging","Old")))))</f>
        <v/>
      </c>
      <c r="N206" s="16" t="str">
        <f t="shared" si="23"/>
        <v/>
      </c>
    </row>
    <row r="207" spans="1:14" x14ac:dyDescent="0.2">
      <c r="A207" s="32"/>
      <c r="B207" s="27"/>
      <c r="C207" s="15" t="str">
        <f>IF(B207="","",IFERROR(INDEX(Items!$B$5:$B$19,MATCH(B207,Items!$A$5:$A$19,0)),"Unknown code"))</f>
        <v/>
      </c>
      <c r="D207" s="29"/>
      <c r="E207" s="18" t="str">
        <f>IF(B207="","",IFERROR(INDEX(Items!$C$5:$C$19,MATCH(B207,Items!$A$5:$A$19,0)),""))</f>
        <v/>
      </c>
      <c r="F207" s="18" t="str">
        <f t="shared" si="18"/>
        <v/>
      </c>
      <c r="G207" s="27"/>
      <c r="H207" s="23" t="str">
        <f>IF(OR(A207="",B207="",D207=""),"",IFERROR(INDEX(Items!$D$5:$D$19,MATCH(B207,Items!$A$5:$A$19,0))+SUMIFS(D$4:D206,B$4:B206,B207),""))</f>
        <v/>
      </c>
      <c r="I207" s="23" t="str">
        <f t="shared" si="19"/>
        <v/>
      </c>
      <c r="J207" s="23" t="str">
        <f t="shared" si="20"/>
        <v/>
      </c>
      <c r="K207" s="18" t="str">
        <f t="shared" si="21"/>
        <v/>
      </c>
      <c r="L207" s="16" t="str">
        <f t="shared" ca="1" si="22"/>
        <v/>
      </c>
      <c r="M207" s="25" t="str">
        <f>IF(H207="","",IF(I207&lt;=0,"Shipped",IF(L207&lt;=AGE30,"Fresh",IF(L207&lt;=AGE60,"Watch",IF(L207&lt;=AGE90,"Aging","Old")))))</f>
        <v/>
      </c>
      <c r="N207" s="16" t="str">
        <f t="shared" si="23"/>
        <v/>
      </c>
    </row>
    <row r="208" spans="1:14" x14ac:dyDescent="0.2">
      <c r="A208" s="32"/>
      <c r="B208" s="27"/>
      <c r="C208" s="15" t="str">
        <f>IF(B208="","",IFERROR(INDEX(Items!$B$5:$B$19,MATCH(B208,Items!$A$5:$A$19,0)),"Unknown code"))</f>
        <v/>
      </c>
      <c r="D208" s="29"/>
      <c r="E208" s="18" t="str">
        <f>IF(B208="","",IFERROR(INDEX(Items!$C$5:$C$19,MATCH(B208,Items!$A$5:$A$19,0)),""))</f>
        <v/>
      </c>
      <c r="F208" s="18" t="str">
        <f t="shared" si="18"/>
        <v/>
      </c>
      <c r="G208" s="27"/>
      <c r="H208" s="23" t="str">
        <f>IF(OR(A208="",B208="",D208=""),"",IFERROR(INDEX(Items!$D$5:$D$19,MATCH(B208,Items!$A$5:$A$19,0))+SUMIFS(D$4:D207,B$4:B207,B208),""))</f>
        <v/>
      </c>
      <c r="I208" s="23" t="str">
        <f t="shared" si="19"/>
        <v/>
      </c>
      <c r="J208" s="23" t="str">
        <f t="shared" si="20"/>
        <v/>
      </c>
      <c r="K208" s="18" t="str">
        <f t="shared" si="21"/>
        <v/>
      </c>
      <c r="L208" s="16" t="str">
        <f t="shared" ca="1" si="22"/>
        <v/>
      </c>
      <c r="M208" s="25" t="str">
        <f>IF(H208="","",IF(I208&lt;=0,"Shipped",IF(L208&lt;=AGE30,"Fresh",IF(L208&lt;=AGE60,"Watch",IF(L208&lt;=AGE90,"Aging","Old")))))</f>
        <v/>
      </c>
      <c r="N208" s="16" t="str">
        <f t="shared" si="23"/>
        <v/>
      </c>
    </row>
    <row r="209" spans="1:14" x14ac:dyDescent="0.2">
      <c r="A209" s="32"/>
      <c r="B209" s="27"/>
      <c r="C209" s="15" t="str">
        <f>IF(B209="","",IFERROR(INDEX(Items!$B$5:$B$19,MATCH(B209,Items!$A$5:$A$19,0)),"Unknown code"))</f>
        <v/>
      </c>
      <c r="D209" s="29"/>
      <c r="E209" s="18" t="str">
        <f>IF(B209="","",IFERROR(INDEX(Items!$C$5:$C$19,MATCH(B209,Items!$A$5:$A$19,0)),""))</f>
        <v/>
      </c>
      <c r="F209" s="18" t="str">
        <f t="shared" si="18"/>
        <v/>
      </c>
      <c r="G209" s="27"/>
      <c r="H209" s="23" t="str">
        <f>IF(OR(A209="",B209="",D209=""),"",IFERROR(INDEX(Items!$D$5:$D$19,MATCH(B209,Items!$A$5:$A$19,0))+SUMIFS(D$4:D208,B$4:B208,B209),""))</f>
        <v/>
      </c>
      <c r="I209" s="23" t="str">
        <f t="shared" si="19"/>
        <v/>
      </c>
      <c r="J209" s="23" t="str">
        <f t="shared" si="20"/>
        <v/>
      </c>
      <c r="K209" s="18" t="str">
        <f t="shared" si="21"/>
        <v/>
      </c>
      <c r="L209" s="16" t="str">
        <f t="shared" ca="1" si="22"/>
        <v/>
      </c>
      <c r="M209" s="25" t="str">
        <f>IF(H209="","",IF(I209&lt;=0,"Shipped",IF(L209&lt;=AGE30,"Fresh",IF(L209&lt;=AGE60,"Watch",IF(L209&lt;=AGE90,"Aging","Old")))))</f>
        <v/>
      </c>
      <c r="N209" s="16" t="str">
        <f t="shared" si="23"/>
        <v/>
      </c>
    </row>
    <row r="210" spans="1:14" x14ac:dyDescent="0.2">
      <c r="A210" s="32"/>
      <c r="B210" s="27"/>
      <c r="C210" s="15" t="str">
        <f>IF(B210="","",IFERROR(INDEX(Items!$B$5:$B$19,MATCH(B210,Items!$A$5:$A$19,0)),"Unknown code"))</f>
        <v/>
      </c>
      <c r="D210" s="29"/>
      <c r="E210" s="18" t="str">
        <f>IF(B210="","",IFERROR(INDEX(Items!$C$5:$C$19,MATCH(B210,Items!$A$5:$A$19,0)),""))</f>
        <v/>
      </c>
      <c r="F210" s="18" t="str">
        <f t="shared" si="18"/>
        <v/>
      </c>
      <c r="G210" s="27"/>
      <c r="H210" s="23" t="str">
        <f>IF(OR(A210="",B210="",D210=""),"",IFERROR(INDEX(Items!$D$5:$D$19,MATCH(B210,Items!$A$5:$A$19,0))+SUMIFS(D$4:D209,B$4:B209,B210),""))</f>
        <v/>
      </c>
      <c r="I210" s="23" t="str">
        <f t="shared" si="19"/>
        <v/>
      </c>
      <c r="J210" s="23" t="str">
        <f t="shared" si="20"/>
        <v/>
      </c>
      <c r="K210" s="18" t="str">
        <f t="shared" si="21"/>
        <v/>
      </c>
      <c r="L210" s="16" t="str">
        <f t="shared" ca="1" si="22"/>
        <v/>
      </c>
      <c r="M210" s="25" t="str">
        <f>IF(H210="","",IF(I210&lt;=0,"Shipped",IF(L210&lt;=AGE30,"Fresh",IF(L210&lt;=AGE60,"Watch",IF(L210&lt;=AGE90,"Aging","Old")))))</f>
        <v/>
      </c>
      <c r="N210" s="16" t="str">
        <f t="shared" si="23"/>
        <v/>
      </c>
    </row>
    <row r="211" spans="1:14" x14ac:dyDescent="0.2">
      <c r="A211" s="32"/>
      <c r="B211" s="27"/>
      <c r="C211" s="15" t="str">
        <f>IF(B211="","",IFERROR(INDEX(Items!$B$5:$B$19,MATCH(B211,Items!$A$5:$A$19,0)),"Unknown code"))</f>
        <v/>
      </c>
      <c r="D211" s="29"/>
      <c r="E211" s="18" t="str">
        <f>IF(B211="","",IFERROR(INDEX(Items!$C$5:$C$19,MATCH(B211,Items!$A$5:$A$19,0)),""))</f>
        <v/>
      </c>
      <c r="F211" s="18" t="str">
        <f t="shared" si="18"/>
        <v/>
      </c>
      <c r="G211" s="27"/>
      <c r="H211" s="23" t="str">
        <f>IF(OR(A211="",B211="",D211=""),"",IFERROR(INDEX(Items!$D$5:$D$19,MATCH(B211,Items!$A$5:$A$19,0))+SUMIFS(D$4:D210,B$4:B210,B211),""))</f>
        <v/>
      </c>
      <c r="I211" s="23" t="str">
        <f t="shared" si="19"/>
        <v/>
      </c>
      <c r="J211" s="23" t="str">
        <f t="shared" si="20"/>
        <v/>
      </c>
      <c r="K211" s="18" t="str">
        <f t="shared" si="21"/>
        <v/>
      </c>
      <c r="L211" s="16" t="str">
        <f t="shared" ca="1" si="22"/>
        <v/>
      </c>
      <c r="M211" s="25" t="str">
        <f>IF(H211="","",IF(I211&lt;=0,"Shipped",IF(L211&lt;=AGE30,"Fresh",IF(L211&lt;=AGE60,"Watch",IF(L211&lt;=AGE90,"Aging","Old")))))</f>
        <v/>
      </c>
      <c r="N211" s="16" t="str">
        <f t="shared" si="23"/>
        <v/>
      </c>
    </row>
    <row r="212" spans="1:14" x14ac:dyDescent="0.2">
      <c r="A212" s="32"/>
      <c r="B212" s="27"/>
      <c r="C212" s="15" t="str">
        <f>IF(B212="","",IFERROR(INDEX(Items!$B$5:$B$19,MATCH(B212,Items!$A$5:$A$19,0)),"Unknown code"))</f>
        <v/>
      </c>
      <c r="D212" s="29"/>
      <c r="E212" s="18" t="str">
        <f>IF(B212="","",IFERROR(INDEX(Items!$C$5:$C$19,MATCH(B212,Items!$A$5:$A$19,0)),""))</f>
        <v/>
      </c>
      <c r="F212" s="18" t="str">
        <f t="shared" si="18"/>
        <v/>
      </c>
      <c r="G212" s="27"/>
      <c r="H212" s="23" t="str">
        <f>IF(OR(A212="",B212="",D212=""),"",IFERROR(INDEX(Items!$D$5:$D$19,MATCH(B212,Items!$A$5:$A$19,0))+SUMIFS(D$4:D211,B$4:B211,B212),""))</f>
        <v/>
      </c>
      <c r="I212" s="23" t="str">
        <f t="shared" si="19"/>
        <v/>
      </c>
      <c r="J212" s="23" t="str">
        <f t="shared" si="20"/>
        <v/>
      </c>
      <c r="K212" s="18" t="str">
        <f t="shared" si="21"/>
        <v/>
      </c>
      <c r="L212" s="16" t="str">
        <f t="shared" ca="1" si="22"/>
        <v/>
      </c>
      <c r="M212" s="25" t="str">
        <f>IF(H212="","",IF(I212&lt;=0,"Shipped",IF(L212&lt;=AGE30,"Fresh",IF(L212&lt;=AGE60,"Watch",IF(L212&lt;=AGE90,"Aging","Old")))))</f>
        <v/>
      </c>
      <c r="N212" s="16" t="str">
        <f t="shared" si="23"/>
        <v/>
      </c>
    </row>
    <row r="213" spans="1:14" x14ac:dyDescent="0.2">
      <c r="A213" s="32"/>
      <c r="B213" s="27"/>
      <c r="C213" s="15" t="str">
        <f>IF(B213="","",IFERROR(INDEX(Items!$B$5:$B$19,MATCH(B213,Items!$A$5:$A$19,0)),"Unknown code"))</f>
        <v/>
      </c>
      <c r="D213" s="29"/>
      <c r="E213" s="18" t="str">
        <f>IF(B213="","",IFERROR(INDEX(Items!$C$5:$C$19,MATCH(B213,Items!$A$5:$A$19,0)),""))</f>
        <v/>
      </c>
      <c r="F213" s="18" t="str">
        <f t="shared" si="18"/>
        <v/>
      </c>
      <c r="G213" s="27"/>
      <c r="H213" s="23" t="str">
        <f>IF(OR(A213="",B213="",D213=""),"",IFERROR(INDEX(Items!$D$5:$D$19,MATCH(B213,Items!$A$5:$A$19,0))+SUMIFS(D$4:D212,B$4:B212,B213),""))</f>
        <v/>
      </c>
      <c r="I213" s="23" t="str">
        <f t="shared" si="19"/>
        <v/>
      </c>
      <c r="J213" s="23" t="str">
        <f t="shared" si="20"/>
        <v/>
      </c>
      <c r="K213" s="18" t="str">
        <f t="shared" si="21"/>
        <v/>
      </c>
      <c r="L213" s="16" t="str">
        <f t="shared" ca="1" si="22"/>
        <v/>
      </c>
      <c r="M213" s="25" t="str">
        <f>IF(H213="","",IF(I213&lt;=0,"Shipped",IF(L213&lt;=AGE30,"Fresh",IF(L213&lt;=AGE60,"Watch",IF(L213&lt;=AGE90,"Aging","Old")))))</f>
        <v/>
      </c>
      <c r="N213" s="16" t="str">
        <f t="shared" si="23"/>
        <v/>
      </c>
    </row>
    <row r="214" spans="1:14" x14ac:dyDescent="0.2">
      <c r="A214" s="32"/>
      <c r="B214" s="27"/>
      <c r="C214" s="15" t="str">
        <f>IF(B214="","",IFERROR(INDEX(Items!$B$5:$B$19,MATCH(B214,Items!$A$5:$A$19,0)),"Unknown code"))</f>
        <v/>
      </c>
      <c r="D214" s="29"/>
      <c r="E214" s="18" t="str">
        <f>IF(B214="","",IFERROR(INDEX(Items!$C$5:$C$19,MATCH(B214,Items!$A$5:$A$19,0)),""))</f>
        <v/>
      </c>
      <c r="F214" s="18" t="str">
        <f t="shared" si="18"/>
        <v/>
      </c>
      <c r="G214" s="27"/>
      <c r="H214" s="23" t="str">
        <f>IF(OR(A214="",B214="",D214=""),"",IFERROR(INDEX(Items!$D$5:$D$19,MATCH(B214,Items!$A$5:$A$19,0))+SUMIFS(D$4:D213,B$4:B213,B214),""))</f>
        <v/>
      </c>
      <c r="I214" s="23" t="str">
        <f t="shared" si="19"/>
        <v/>
      </c>
      <c r="J214" s="23" t="str">
        <f t="shared" si="20"/>
        <v/>
      </c>
      <c r="K214" s="18" t="str">
        <f t="shared" si="21"/>
        <v/>
      </c>
      <c r="L214" s="16" t="str">
        <f t="shared" ca="1" si="22"/>
        <v/>
      </c>
      <c r="M214" s="25" t="str">
        <f>IF(H214="","",IF(I214&lt;=0,"Shipped",IF(L214&lt;=AGE30,"Fresh",IF(L214&lt;=AGE60,"Watch",IF(L214&lt;=AGE90,"Aging","Old")))))</f>
        <v/>
      </c>
      <c r="N214" s="16" t="str">
        <f t="shared" si="23"/>
        <v/>
      </c>
    </row>
    <row r="215" spans="1:14" x14ac:dyDescent="0.2">
      <c r="A215" s="32"/>
      <c r="B215" s="27"/>
      <c r="C215" s="15" t="str">
        <f>IF(B215="","",IFERROR(INDEX(Items!$B$5:$B$19,MATCH(B215,Items!$A$5:$A$19,0)),"Unknown code"))</f>
        <v/>
      </c>
      <c r="D215" s="29"/>
      <c r="E215" s="18" t="str">
        <f>IF(B215="","",IFERROR(INDEX(Items!$C$5:$C$19,MATCH(B215,Items!$A$5:$A$19,0)),""))</f>
        <v/>
      </c>
      <c r="F215" s="18" t="str">
        <f t="shared" si="18"/>
        <v/>
      </c>
      <c r="G215" s="27"/>
      <c r="H215" s="23" t="str">
        <f>IF(OR(A215="",B215="",D215=""),"",IFERROR(INDEX(Items!$D$5:$D$19,MATCH(B215,Items!$A$5:$A$19,0))+SUMIFS(D$4:D214,B$4:B214,B215),""))</f>
        <v/>
      </c>
      <c r="I215" s="23" t="str">
        <f t="shared" si="19"/>
        <v/>
      </c>
      <c r="J215" s="23" t="str">
        <f t="shared" si="20"/>
        <v/>
      </c>
      <c r="K215" s="18" t="str">
        <f t="shared" si="21"/>
        <v/>
      </c>
      <c r="L215" s="16" t="str">
        <f t="shared" ca="1" si="22"/>
        <v/>
      </c>
      <c r="M215" s="25" t="str">
        <f>IF(H215="","",IF(I215&lt;=0,"Shipped",IF(L215&lt;=AGE30,"Fresh",IF(L215&lt;=AGE60,"Watch",IF(L215&lt;=AGE90,"Aging","Old")))))</f>
        <v/>
      </c>
      <c r="N215" s="16" t="str">
        <f t="shared" si="23"/>
        <v/>
      </c>
    </row>
    <row r="216" spans="1:14" x14ac:dyDescent="0.2">
      <c r="A216" s="32"/>
      <c r="B216" s="27"/>
      <c r="C216" s="15" t="str">
        <f>IF(B216="","",IFERROR(INDEX(Items!$B$5:$B$19,MATCH(B216,Items!$A$5:$A$19,0)),"Unknown code"))</f>
        <v/>
      </c>
      <c r="D216" s="29"/>
      <c r="E216" s="18" t="str">
        <f>IF(B216="","",IFERROR(INDEX(Items!$C$5:$C$19,MATCH(B216,Items!$A$5:$A$19,0)),""))</f>
        <v/>
      </c>
      <c r="F216" s="18" t="str">
        <f t="shared" si="18"/>
        <v/>
      </c>
      <c r="G216" s="27"/>
      <c r="H216" s="23" t="str">
        <f>IF(OR(A216="",B216="",D216=""),"",IFERROR(INDEX(Items!$D$5:$D$19,MATCH(B216,Items!$A$5:$A$19,0))+SUMIFS(D$4:D215,B$4:B215,B216),""))</f>
        <v/>
      </c>
      <c r="I216" s="23" t="str">
        <f t="shared" si="19"/>
        <v/>
      </c>
      <c r="J216" s="23" t="str">
        <f t="shared" si="20"/>
        <v/>
      </c>
      <c r="K216" s="18" t="str">
        <f t="shared" si="21"/>
        <v/>
      </c>
      <c r="L216" s="16" t="str">
        <f t="shared" ca="1" si="22"/>
        <v/>
      </c>
      <c r="M216" s="25" t="str">
        <f>IF(H216="","",IF(I216&lt;=0,"Shipped",IF(L216&lt;=AGE30,"Fresh",IF(L216&lt;=AGE60,"Watch",IF(L216&lt;=AGE90,"Aging","Old")))))</f>
        <v/>
      </c>
      <c r="N216" s="16" t="str">
        <f t="shared" si="23"/>
        <v/>
      </c>
    </row>
    <row r="217" spans="1:14" x14ac:dyDescent="0.2">
      <c r="A217" s="32"/>
      <c r="B217" s="27"/>
      <c r="C217" s="15" t="str">
        <f>IF(B217="","",IFERROR(INDEX(Items!$B$5:$B$19,MATCH(B217,Items!$A$5:$A$19,0)),"Unknown code"))</f>
        <v/>
      </c>
      <c r="D217" s="29"/>
      <c r="E217" s="18" t="str">
        <f>IF(B217="","",IFERROR(INDEX(Items!$C$5:$C$19,MATCH(B217,Items!$A$5:$A$19,0)),""))</f>
        <v/>
      </c>
      <c r="F217" s="18" t="str">
        <f t="shared" si="18"/>
        <v/>
      </c>
      <c r="G217" s="27"/>
      <c r="H217" s="23" t="str">
        <f>IF(OR(A217="",B217="",D217=""),"",IFERROR(INDEX(Items!$D$5:$D$19,MATCH(B217,Items!$A$5:$A$19,0))+SUMIFS(D$4:D216,B$4:B216,B217),""))</f>
        <v/>
      </c>
      <c r="I217" s="23" t="str">
        <f t="shared" si="19"/>
        <v/>
      </c>
      <c r="J217" s="23" t="str">
        <f t="shared" si="20"/>
        <v/>
      </c>
      <c r="K217" s="18" t="str">
        <f t="shared" si="21"/>
        <v/>
      </c>
      <c r="L217" s="16" t="str">
        <f t="shared" ca="1" si="22"/>
        <v/>
      </c>
      <c r="M217" s="25" t="str">
        <f>IF(H217="","",IF(I217&lt;=0,"Shipped",IF(L217&lt;=AGE30,"Fresh",IF(L217&lt;=AGE60,"Watch",IF(L217&lt;=AGE90,"Aging","Old")))))</f>
        <v/>
      </c>
      <c r="N217" s="16" t="str">
        <f t="shared" si="23"/>
        <v/>
      </c>
    </row>
    <row r="218" spans="1:14" x14ac:dyDescent="0.2">
      <c r="A218" s="32"/>
      <c r="B218" s="27"/>
      <c r="C218" s="15" t="str">
        <f>IF(B218="","",IFERROR(INDEX(Items!$B$5:$B$19,MATCH(B218,Items!$A$5:$A$19,0)),"Unknown code"))</f>
        <v/>
      </c>
      <c r="D218" s="29"/>
      <c r="E218" s="18" t="str">
        <f>IF(B218="","",IFERROR(INDEX(Items!$C$5:$C$19,MATCH(B218,Items!$A$5:$A$19,0)),""))</f>
        <v/>
      </c>
      <c r="F218" s="18" t="str">
        <f t="shared" si="18"/>
        <v/>
      </c>
      <c r="G218" s="27"/>
      <c r="H218" s="23" t="str">
        <f>IF(OR(A218="",B218="",D218=""),"",IFERROR(INDEX(Items!$D$5:$D$19,MATCH(B218,Items!$A$5:$A$19,0))+SUMIFS(D$4:D217,B$4:B217,B218),""))</f>
        <v/>
      </c>
      <c r="I218" s="23" t="str">
        <f t="shared" si="19"/>
        <v/>
      </c>
      <c r="J218" s="23" t="str">
        <f t="shared" si="20"/>
        <v/>
      </c>
      <c r="K218" s="18" t="str">
        <f t="shared" si="21"/>
        <v/>
      </c>
      <c r="L218" s="16" t="str">
        <f t="shared" ca="1" si="22"/>
        <v/>
      </c>
      <c r="M218" s="25" t="str">
        <f>IF(H218="","",IF(I218&lt;=0,"Shipped",IF(L218&lt;=AGE30,"Fresh",IF(L218&lt;=AGE60,"Watch",IF(L218&lt;=AGE90,"Aging","Old")))))</f>
        <v/>
      </c>
      <c r="N218" s="16" t="str">
        <f t="shared" si="23"/>
        <v/>
      </c>
    </row>
    <row r="219" spans="1:14" x14ac:dyDescent="0.2">
      <c r="A219" s="32"/>
      <c r="B219" s="27"/>
      <c r="C219" s="15" t="str">
        <f>IF(B219="","",IFERROR(INDEX(Items!$B$5:$B$19,MATCH(B219,Items!$A$5:$A$19,0)),"Unknown code"))</f>
        <v/>
      </c>
      <c r="D219" s="29"/>
      <c r="E219" s="18" t="str">
        <f>IF(B219="","",IFERROR(INDEX(Items!$C$5:$C$19,MATCH(B219,Items!$A$5:$A$19,0)),""))</f>
        <v/>
      </c>
      <c r="F219" s="18" t="str">
        <f t="shared" si="18"/>
        <v/>
      </c>
      <c r="G219" s="27"/>
      <c r="H219" s="23" t="str">
        <f>IF(OR(A219="",B219="",D219=""),"",IFERROR(INDEX(Items!$D$5:$D$19,MATCH(B219,Items!$A$5:$A$19,0))+SUMIFS(D$4:D218,B$4:B218,B219),""))</f>
        <v/>
      </c>
      <c r="I219" s="23" t="str">
        <f t="shared" si="19"/>
        <v/>
      </c>
      <c r="J219" s="23" t="str">
        <f t="shared" si="20"/>
        <v/>
      </c>
      <c r="K219" s="18" t="str">
        <f t="shared" si="21"/>
        <v/>
      </c>
      <c r="L219" s="16" t="str">
        <f t="shared" ca="1" si="22"/>
        <v/>
      </c>
      <c r="M219" s="25" t="str">
        <f>IF(H219="","",IF(I219&lt;=0,"Shipped",IF(L219&lt;=AGE30,"Fresh",IF(L219&lt;=AGE60,"Watch",IF(L219&lt;=AGE90,"Aging","Old")))))</f>
        <v/>
      </c>
      <c r="N219" s="16" t="str">
        <f t="shared" si="23"/>
        <v/>
      </c>
    </row>
    <row r="220" spans="1:14" x14ac:dyDescent="0.2">
      <c r="A220" s="32"/>
      <c r="B220" s="27"/>
      <c r="C220" s="15" t="str">
        <f>IF(B220="","",IFERROR(INDEX(Items!$B$5:$B$19,MATCH(B220,Items!$A$5:$A$19,0)),"Unknown code"))</f>
        <v/>
      </c>
      <c r="D220" s="29"/>
      <c r="E220" s="18" t="str">
        <f>IF(B220="","",IFERROR(INDEX(Items!$C$5:$C$19,MATCH(B220,Items!$A$5:$A$19,0)),""))</f>
        <v/>
      </c>
      <c r="F220" s="18" t="str">
        <f t="shared" si="18"/>
        <v/>
      </c>
      <c r="G220" s="27"/>
      <c r="H220" s="23" t="str">
        <f>IF(OR(A220="",B220="",D220=""),"",IFERROR(INDEX(Items!$D$5:$D$19,MATCH(B220,Items!$A$5:$A$19,0))+SUMIFS(D$4:D219,B$4:B219,B220),""))</f>
        <v/>
      </c>
      <c r="I220" s="23" t="str">
        <f t="shared" si="19"/>
        <v/>
      </c>
      <c r="J220" s="23" t="str">
        <f t="shared" si="20"/>
        <v/>
      </c>
      <c r="K220" s="18" t="str">
        <f t="shared" si="21"/>
        <v/>
      </c>
      <c r="L220" s="16" t="str">
        <f t="shared" ca="1" si="22"/>
        <v/>
      </c>
      <c r="M220" s="25" t="str">
        <f>IF(H220="","",IF(I220&lt;=0,"Shipped",IF(L220&lt;=AGE30,"Fresh",IF(L220&lt;=AGE60,"Watch",IF(L220&lt;=AGE90,"Aging","Old")))))</f>
        <v/>
      </c>
      <c r="N220" s="16" t="str">
        <f t="shared" si="23"/>
        <v/>
      </c>
    </row>
    <row r="221" spans="1:14" x14ac:dyDescent="0.2">
      <c r="A221" s="32"/>
      <c r="B221" s="27"/>
      <c r="C221" s="15" t="str">
        <f>IF(B221="","",IFERROR(INDEX(Items!$B$5:$B$19,MATCH(B221,Items!$A$5:$A$19,0)),"Unknown code"))</f>
        <v/>
      </c>
      <c r="D221" s="29"/>
      <c r="E221" s="18" t="str">
        <f>IF(B221="","",IFERROR(INDEX(Items!$C$5:$C$19,MATCH(B221,Items!$A$5:$A$19,0)),""))</f>
        <v/>
      </c>
      <c r="F221" s="18" t="str">
        <f t="shared" si="18"/>
        <v/>
      </c>
      <c r="G221" s="27"/>
      <c r="H221" s="23" t="str">
        <f>IF(OR(A221="",B221="",D221=""),"",IFERROR(INDEX(Items!$D$5:$D$19,MATCH(B221,Items!$A$5:$A$19,0))+SUMIFS(D$4:D220,B$4:B220,B221),""))</f>
        <v/>
      </c>
      <c r="I221" s="23" t="str">
        <f t="shared" si="19"/>
        <v/>
      </c>
      <c r="J221" s="23" t="str">
        <f t="shared" si="20"/>
        <v/>
      </c>
      <c r="K221" s="18" t="str">
        <f t="shared" si="21"/>
        <v/>
      </c>
      <c r="L221" s="16" t="str">
        <f t="shared" ca="1" si="22"/>
        <v/>
      </c>
      <c r="M221" s="25" t="str">
        <f>IF(H221="","",IF(I221&lt;=0,"Shipped",IF(L221&lt;=AGE30,"Fresh",IF(L221&lt;=AGE60,"Watch",IF(L221&lt;=AGE90,"Aging","Old")))))</f>
        <v/>
      </c>
      <c r="N221" s="16" t="str">
        <f t="shared" si="23"/>
        <v/>
      </c>
    </row>
    <row r="222" spans="1:14" x14ac:dyDescent="0.2">
      <c r="A222" s="32"/>
      <c r="B222" s="27"/>
      <c r="C222" s="15" t="str">
        <f>IF(B222="","",IFERROR(INDEX(Items!$B$5:$B$19,MATCH(B222,Items!$A$5:$A$19,0)),"Unknown code"))</f>
        <v/>
      </c>
      <c r="D222" s="29"/>
      <c r="E222" s="18" t="str">
        <f>IF(B222="","",IFERROR(INDEX(Items!$C$5:$C$19,MATCH(B222,Items!$A$5:$A$19,0)),""))</f>
        <v/>
      </c>
      <c r="F222" s="18" t="str">
        <f t="shared" si="18"/>
        <v/>
      </c>
      <c r="G222" s="27"/>
      <c r="H222" s="23" t="str">
        <f>IF(OR(A222="",B222="",D222=""),"",IFERROR(INDEX(Items!$D$5:$D$19,MATCH(B222,Items!$A$5:$A$19,0))+SUMIFS(D$4:D221,B$4:B221,B222),""))</f>
        <v/>
      </c>
      <c r="I222" s="23" t="str">
        <f t="shared" si="19"/>
        <v/>
      </c>
      <c r="J222" s="23" t="str">
        <f t="shared" si="20"/>
        <v/>
      </c>
      <c r="K222" s="18" t="str">
        <f t="shared" si="21"/>
        <v/>
      </c>
      <c r="L222" s="16" t="str">
        <f t="shared" ca="1" si="22"/>
        <v/>
      </c>
      <c r="M222" s="25" t="str">
        <f>IF(H222="","",IF(I222&lt;=0,"Shipped",IF(L222&lt;=AGE30,"Fresh",IF(L222&lt;=AGE60,"Watch",IF(L222&lt;=AGE90,"Aging","Old")))))</f>
        <v/>
      </c>
      <c r="N222" s="16" t="str">
        <f t="shared" si="23"/>
        <v/>
      </c>
    </row>
    <row r="223" spans="1:14" x14ac:dyDescent="0.2">
      <c r="A223" s="32"/>
      <c r="B223" s="27"/>
      <c r="C223" s="15" t="str">
        <f>IF(B223="","",IFERROR(INDEX(Items!$B$5:$B$19,MATCH(B223,Items!$A$5:$A$19,0)),"Unknown code"))</f>
        <v/>
      </c>
      <c r="D223" s="29"/>
      <c r="E223" s="18" t="str">
        <f>IF(B223="","",IFERROR(INDEX(Items!$C$5:$C$19,MATCH(B223,Items!$A$5:$A$19,0)),""))</f>
        <v/>
      </c>
      <c r="F223" s="18" t="str">
        <f t="shared" si="18"/>
        <v/>
      </c>
      <c r="G223" s="27"/>
      <c r="H223" s="23" t="str">
        <f>IF(OR(A223="",B223="",D223=""),"",IFERROR(INDEX(Items!$D$5:$D$19,MATCH(B223,Items!$A$5:$A$19,0))+SUMIFS(D$4:D222,B$4:B222,B223),""))</f>
        <v/>
      </c>
      <c r="I223" s="23" t="str">
        <f t="shared" si="19"/>
        <v/>
      </c>
      <c r="J223" s="23" t="str">
        <f t="shared" si="20"/>
        <v/>
      </c>
      <c r="K223" s="18" t="str">
        <f t="shared" si="21"/>
        <v/>
      </c>
      <c r="L223" s="16" t="str">
        <f t="shared" ca="1" si="22"/>
        <v/>
      </c>
      <c r="M223" s="25" t="str">
        <f>IF(H223="","",IF(I223&lt;=0,"Shipped",IF(L223&lt;=AGE30,"Fresh",IF(L223&lt;=AGE60,"Watch",IF(L223&lt;=AGE90,"Aging","Old")))))</f>
        <v/>
      </c>
      <c r="N223" s="16" t="str">
        <f t="shared" si="23"/>
        <v/>
      </c>
    </row>
    <row r="224" spans="1:14" x14ac:dyDescent="0.2">
      <c r="A224" s="32"/>
      <c r="B224" s="27"/>
      <c r="C224" s="15" t="str">
        <f>IF(B224="","",IFERROR(INDEX(Items!$B$5:$B$19,MATCH(B224,Items!$A$5:$A$19,0)),"Unknown code"))</f>
        <v/>
      </c>
      <c r="D224" s="29"/>
      <c r="E224" s="18" t="str">
        <f>IF(B224="","",IFERROR(INDEX(Items!$C$5:$C$19,MATCH(B224,Items!$A$5:$A$19,0)),""))</f>
        <v/>
      </c>
      <c r="F224" s="18" t="str">
        <f t="shared" si="18"/>
        <v/>
      </c>
      <c r="G224" s="27"/>
      <c r="H224" s="23" t="str">
        <f>IF(OR(A224="",B224="",D224=""),"",IFERROR(INDEX(Items!$D$5:$D$19,MATCH(B224,Items!$A$5:$A$19,0))+SUMIFS(D$4:D223,B$4:B223,B224),""))</f>
        <v/>
      </c>
      <c r="I224" s="23" t="str">
        <f t="shared" si="19"/>
        <v/>
      </c>
      <c r="J224" s="23" t="str">
        <f t="shared" si="20"/>
        <v/>
      </c>
      <c r="K224" s="18" t="str">
        <f t="shared" si="21"/>
        <v/>
      </c>
      <c r="L224" s="16" t="str">
        <f t="shared" ca="1" si="22"/>
        <v/>
      </c>
      <c r="M224" s="25" t="str">
        <f>IF(H224="","",IF(I224&lt;=0,"Shipped",IF(L224&lt;=AGE30,"Fresh",IF(L224&lt;=AGE60,"Watch",IF(L224&lt;=AGE90,"Aging","Old")))))</f>
        <v/>
      </c>
      <c r="N224" s="16" t="str">
        <f t="shared" si="23"/>
        <v/>
      </c>
    </row>
    <row r="225" spans="1:14" x14ac:dyDescent="0.2">
      <c r="A225" s="32"/>
      <c r="B225" s="27"/>
      <c r="C225" s="15" t="str">
        <f>IF(B225="","",IFERROR(INDEX(Items!$B$5:$B$19,MATCH(B225,Items!$A$5:$A$19,0)),"Unknown code"))</f>
        <v/>
      </c>
      <c r="D225" s="29"/>
      <c r="E225" s="18" t="str">
        <f>IF(B225="","",IFERROR(INDEX(Items!$C$5:$C$19,MATCH(B225,Items!$A$5:$A$19,0)),""))</f>
        <v/>
      </c>
      <c r="F225" s="18" t="str">
        <f t="shared" si="18"/>
        <v/>
      </c>
      <c r="G225" s="27"/>
      <c r="H225" s="23" t="str">
        <f>IF(OR(A225="",B225="",D225=""),"",IFERROR(INDEX(Items!$D$5:$D$19,MATCH(B225,Items!$A$5:$A$19,0))+SUMIFS(D$4:D224,B$4:B224,B225),""))</f>
        <v/>
      </c>
      <c r="I225" s="23" t="str">
        <f t="shared" si="19"/>
        <v/>
      </c>
      <c r="J225" s="23" t="str">
        <f t="shared" si="20"/>
        <v/>
      </c>
      <c r="K225" s="18" t="str">
        <f t="shared" si="21"/>
        <v/>
      </c>
      <c r="L225" s="16" t="str">
        <f t="shared" ca="1" si="22"/>
        <v/>
      </c>
      <c r="M225" s="25" t="str">
        <f>IF(H225="","",IF(I225&lt;=0,"Shipped",IF(L225&lt;=AGE30,"Fresh",IF(L225&lt;=AGE60,"Watch",IF(L225&lt;=AGE90,"Aging","Old")))))</f>
        <v/>
      </c>
      <c r="N225" s="16" t="str">
        <f t="shared" si="23"/>
        <v/>
      </c>
    </row>
    <row r="226" spans="1:14" x14ac:dyDescent="0.2">
      <c r="A226" s="32"/>
      <c r="B226" s="27"/>
      <c r="C226" s="15" t="str">
        <f>IF(B226="","",IFERROR(INDEX(Items!$B$5:$B$19,MATCH(B226,Items!$A$5:$A$19,0)),"Unknown code"))</f>
        <v/>
      </c>
      <c r="D226" s="29"/>
      <c r="E226" s="18" t="str">
        <f>IF(B226="","",IFERROR(INDEX(Items!$C$5:$C$19,MATCH(B226,Items!$A$5:$A$19,0)),""))</f>
        <v/>
      </c>
      <c r="F226" s="18" t="str">
        <f t="shared" si="18"/>
        <v/>
      </c>
      <c r="G226" s="27"/>
      <c r="H226" s="23" t="str">
        <f>IF(OR(A226="",B226="",D226=""),"",IFERROR(INDEX(Items!$D$5:$D$19,MATCH(B226,Items!$A$5:$A$19,0))+SUMIFS(D$4:D225,B$4:B225,B226),""))</f>
        <v/>
      </c>
      <c r="I226" s="23" t="str">
        <f t="shared" si="19"/>
        <v/>
      </c>
      <c r="J226" s="23" t="str">
        <f t="shared" si="20"/>
        <v/>
      </c>
      <c r="K226" s="18" t="str">
        <f t="shared" si="21"/>
        <v/>
      </c>
      <c r="L226" s="16" t="str">
        <f t="shared" ca="1" si="22"/>
        <v/>
      </c>
      <c r="M226" s="25" t="str">
        <f>IF(H226="","",IF(I226&lt;=0,"Shipped",IF(L226&lt;=AGE30,"Fresh",IF(L226&lt;=AGE60,"Watch",IF(L226&lt;=AGE90,"Aging","Old")))))</f>
        <v/>
      </c>
      <c r="N226" s="16" t="str">
        <f t="shared" si="23"/>
        <v/>
      </c>
    </row>
    <row r="227" spans="1:14" x14ac:dyDescent="0.2">
      <c r="A227" s="32"/>
      <c r="B227" s="27"/>
      <c r="C227" s="15" t="str">
        <f>IF(B227="","",IFERROR(INDEX(Items!$B$5:$B$19,MATCH(B227,Items!$A$5:$A$19,0)),"Unknown code"))</f>
        <v/>
      </c>
      <c r="D227" s="29"/>
      <c r="E227" s="18" t="str">
        <f>IF(B227="","",IFERROR(INDEX(Items!$C$5:$C$19,MATCH(B227,Items!$A$5:$A$19,0)),""))</f>
        <v/>
      </c>
      <c r="F227" s="18" t="str">
        <f t="shared" si="18"/>
        <v/>
      </c>
      <c r="G227" s="27"/>
      <c r="H227" s="23" t="str">
        <f>IF(OR(A227="",B227="",D227=""),"",IFERROR(INDEX(Items!$D$5:$D$19,MATCH(B227,Items!$A$5:$A$19,0))+SUMIFS(D$4:D226,B$4:B226,B227),""))</f>
        <v/>
      </c>
      <c r="I227" s="23" t="str">
        <f t="shared" si="19"/>
        <v/>
      </c>
      <c r="J227" s="23" t="str">
        <f t="shared" si="20"/>
        <v/>
      </c>
      <c r="K227" s="18" t="str">
        <f t="shared" si="21"/>
        <v/>
      </c>
      <c r="L227" s="16" t="str">
        <f t="shared" ca="1" si="22"/>
        <v/>
      </c>
      <c r="M227" s="25" t="str">
        <f>IF(H227="","",IF(I227&lt;=0,"Shipped",IF(L227&lt;=AGE30,"Fresh",IF(L227&lt;=AGE60,"Watch",IF(L227&lt;=AGE90,"Aging","Old")))))</f>
        <v/>
      </c>
      <c r="N227" s="16" t="str">
        <f t="shared" si="23"/>
        <v/>
      </c>
    </row>
    <row r="228" spans="1:14" x14ac:dyDescent="0.2">
      <c r="A228" s="32"/>
      <c r="B228" s="27"/>
      <c r="C228" s="15" t="str">
        <f>IF(B228="","",IFERROR(INDEX(Items!$B$5:$B$19,MATCH(B228,Items!$A$5:$A$19,0)),"Unknown code"))</f>
        <v/>
      </c>
      <c r="D228" s="29"/>
      <c r="E228" s="18" t="str">
        <f>IF(B228="","",IFERROR(INDEX(Items!$C$5:$C$19,MATCH(B228,Items!$A$5:$A$19,0)),""))</f>
        <v/>
      </c>
      <c r="F228" s="18" t="str">
        <f t="shared" si="18"/>
        <v/>
      </c>
      <c r="G228" s="27"/>
      <c r="H228" s="23" t="str">
        <f>IF(OR(A228="",B228="",D228=""),"",IFERROR(INDEX(Items!$D$5:$D$19,MATCH(B228,Items!$A$5:$A$19,0))+SUMIFS(D$4:D227,B$4:B227,B228),""))</f>
        <v/>
      </c>
      <c r="I228" s="23" t="str">
        <f t="shared" si="19"/>
        <v/>
      </c>
      <c r="J228" s="23" t="str">
        <f t="shared" si="20"/>
        <v/>
      </c>
      <c r="K228" s="18" t="str">
        <f t="shared" si="21"/>
        <v/>
      </c>
      <c r="L228" s="16" t="str">
        <f t="shared" ca="1" si="22"/>
        <v/>
      </c>
      <c r="M228" s="25" t="str">
        <f>IF(H228="","",IF(I228&lt;=0,"Shipped",IF(L228&lt;=AGE30,"Fresh",IF(L228&lt;=AGE60,"Watch",IF(L228&lt;=AGE90,"Aging","Old")))))</f>
        <v/>
      </c>
      <c r="N228" s="16" t="str">
        <f t="shared" si="23"/>
        <v/>
      </c>
    </row>
    <row r="229" spans="1:14" x14ac:dyDescent="0.2">
      <c r="A229" s="32"/>
      <c r="B229" s="27"/>
      <c r="C229" s="15" t="str">
        <f>IF(B229="","",IFERROR(INDEX(Items!$B$5:$B$19,MATCH(B229,Items!$A$5:$A$19,0)),"Unknown code"))</f>
        <v/>
      </c>
      <c r="D229" s="29"/>
      <c r="E229" s="18" t="str">
        <f>IF(B229="","",IFERROR(INDEX(Items!$C$5:$C$19,MATCH(B229,Items!$A$5:$A$19,0)),""))</f>
        <v/>
      </c>
      <c r="F229" s="18" t="str">
        <f t="shared" si="18"/>
        <v/>
      </c>
      <c r="G229" s="27"/>
      <c r="H229" s="23" t="str">
        <f>IF(OR(A229="",B229="",D229=""),"",IFERROR(INDEX(Items!$D$5:$D$19,MATCH(B229,Items!$A$5:$A$19,0))+SUMIFS(D$4:D228,B$4:B228,B229),""))</f>
        <v/>
      </c>
      <c r="I229" s="23" t="str">
        <f t="shared" si="19"/>
        <v/>
      </c>
      <c r="J229" s="23" t="str">
        <f t="shared" si="20"/>
        <v/>
      </c>
      <c r="K229" s="18" t="str">
        <f t="shared" si="21"/>
        <v/>
      </c>
      <c r="L229" s="16" t="str">
        <f t="shared" ca="1" si="22"/>
        <v/>
      </c>
      <c r="M229" s="25" t="str">
        <f>IF(H229="","",IF(I229&lt;=0,"Shipped",IF(L229&lt;=AGE30,"Fresh",IF(L229&lt;=AGE60,"Watch",IF(L229&lt;=AGE90,"Aging","Old")))))</f>
        <v/>
      </c>
      <c r="N229" s="16" t="str">
        <f t="shared" si="23"/>
        <v/>
      </c>
    </row>
    <row r="230" spans="1:14" x14ac:dyDescent="0.2">
      <c r="A230" s="32"/>
      <c r="B230" s="27"/>
      <c r="C230" s="15" t="str">
        <f>IF(B230="","",IFERROR(INDEX(Items!$B$5:$B$19,MATCH(B230,Items!$A$5:$A$19,0)),"Unknown code"))</f>
        <v/>
      </c>
      <c r="D230" s="29"/>
      <c r="E230" s="18" t="str">
        <f>IF(B230="","",IFERROR(INDEX(Items!$C$5:$C$19,MATCH(B230,Items!$A$5:$A$19,0)),""))</f>
        <v/>
      </c>
      <c r="F230" s="18" t="str">
        <f t="shared" si="18"/>
        <v/>
      </c>
      <c r="G230" s="27"/>
      <c r="H230" s="23" t="str">
        <f>IF(OR(A230="",B230="",D230=""),"",IFERROR(INDEX(Items!$D$5:$D$19,MATCH(B230,Items!$A$5:$A$19,0))+SUMIFS(D$4:D229,B$4:B229,B230),""))</f>
        <v/>
      </c>
      <c r="I230" s="23" t="str">
        <f t="shared" si="19"/>
        <v/>
      </c>
      <c r="J230" s="23" t="str">
        <f t="shared" si="20"/>
        <v/>
      </c>
      <c r="K230" s="18" t="str">
        <f t="shared" si="21"/>
        <v/>
      </c>
      <c r="L230" s="16" t="str">
        <f t="shared" ca="1" si="22"/>
        <v/>
      </c>
      <c r="M230" s="25" t="str">
        <f>IF(H230="","",IF(I230&lt;=0,"Shipped",IF(L230&lt;=AGE30,"Fresh",IF(L230&lt;=AGE60,"Watch",IF(L230&lt;=AGE90,"Aging","Old")))))</f>
        <v/>
      </c>
      <c r="N230" s="16" t="str">
        <f t="shared" si="23"/>
        <v/>
      </c>
    </row>
    <row r="231" spans="1:14" x14ac:dyDescent="0.2">
      <c r="A231" s="32"/>
      <c r="B231" s="27"/>
      <c r="C231" s="15" t="str">
        <f>IF(B231="","",IFERROR(INDEX(Items!$B$5:$B$19,MATCH(B231,Items!$A$5:$A$19,0)),"Unknown code"))</f>
        <v/>
      </c>
      <c r="D231" s="29"/>
      <c r="E231" s="18" t="str">
        <f>IF(B231="","",IFERROR(INDEX(Items!$C$5:$C$19,MATCH(B231,Items!$A$5:$A$19,0)),""))</f>
        <v/>
      </c>
      <c r="F231" s="18" t="str">
        <f t="shared" si="18"/>
        <v/>
      </c>
      <c r="G231" s="27"/>
      <c r="H231" s="23" t="str">
        <f>IF(OR(A231="",B231="",D231=""),"",IFERROR(INDEX(Items!$D$5:$D$19,MATCH(B231,Items!$A$5:$A$19,0))+SUMIFS(D$4:D230,B$4:B230,B231),""))</f>
        <v/>
      </c>
      <c r="I231" s="23" t="str">
        <f t="shared" si="19"/>
        <v/>
      </c>
      <c r="J231" s="23" t="str">
        <f t="shared" si="20"/>
        <v/>
      </c>
      <c r="K231" s="18" t="str">
        <f t="shared" si="21"/>
        <v/>
      </c>
      <c r="L231" s="16" t="str">
        <f t="shared" ca="1" si="22"/>
        <v/>
      </c>
      <c r="M231" s="25" t="str">
        <f>IF(H231="","",IF(I231&lt;=0,"Shipped",IF(L231&lt;=AGE30,"Fresh",IF(L231&lt;=AGE60,"Watch",IF(L231&lt;=AGE90,"Aging","Old")))))</f>
        <v/>
      </c>
      <c r="N231" s="16" t="str">
        <f t="shared" si="23"/>
        <v/>
      </c>
    </row>
    <row r="232" spans="1:14" x14ac:dyDescent="0.2">
      <c r="A232" s="32"/>
      <c r="B232" s="27"/>
      <c r="C232" s="15" t="str">
        <f>IF(B232="","",IFERROR(INDEX(Items!$B$5:$B$19,MATCH(B232,Items!$A$5:$A$19,0)),"Unknown code"))</f>
        <v/>
      </c>
      <c r="D232" s="29"/>
      <c r="E232" s="18" t="str">
        <f>IF(B232="","",IFERROR(INDEX(Items!$C$5:$C$19,MATCH(B232,Items!$A$5:$A$19,0)),""))</f>
        <v/>
      </c>
      <c r="F232" s="18" t="str">
        <f t="shared" si="18"/>
        <v/>
      </c>
      <c r="G232" s="27"/>
      <c r="H232" s="23" t="str">
        <f>IF(OR(A232="",B232="",D232=""),"",IFERROR(INDEX(Items!$D$5:$D$19,MATCH(B232,Items!$A$5:$A$19,0))+SUMIFS(D$4:D231,B$4:B231,B232),""))</f>
        <v/>
      </c>
      <c r="I232" s="23" t="str">
        <f t="shared" si="19"/>
        <v/>
      </c>
      <c r="J232" s="23" t="str">
        <f t="shared" si="20"/>
        <v/>
      </c>
      <c r="K232" s="18" t="str">
        <f t="shared" si="21"/>
        <v/>
      </c>
      <c r="L232" s="16" t="str">
        <f t="shared" ca="1" si="22"/>
        <v/>
      </c>
      <c r="M232" s="25" t="str">
        <f>IF(H232="","",IF(I232&lt;=0,"Shipped",IF(L232&lt;=AGE30,"Fresh",IF(L232&lt;=AGE60,"Watch",IF(L232&lt;=AGE90,"Aging","Old")))))</f>
        <v/>
      </c>
      <c r="N232" s="16" t="str">
        <f t="shared" si="23"/>
        <v/>
      </c>
    </row>
    <row r="233" spans="1:14" x14ac:dyDescent="0.2">
      <c r="A233" s="32"/>
      <c r="B233" s="27"/>
      <c r="C233" s="15" t="str">
        <f>IF(B233="","",IFERROR(INDEX(Items!$B$5:$B$19,MATCH(B233,Items!$A$5:$A$19,0)),"Unknown code"))</f>
        <v/>
      </c>
      <c r="D233" s="29"/>
      <c r="E233" s="18" t="str">
        <f>IF(B233="","",IFERROR(INDEX(Items!$C$5:$C$19,MATCH(B233,Items!$A$5:$A$19,0)),""))</f>
        <v/>
      </c>
      <c r="F233" s="18" t="str">
        <f t="shared" si="18"/>
        <v/>
      </c>
      <c r="G233" s="27"/>
      <c r="H233" s="23" t="str">
        <f>IF(OR(A233="",B233="",D233=""),"",IFERROR(INDEX(Items!$D$5:$D$19,MATCH(B233,Items!$A$5:$A$19,0))+SUMIFS(D$4:D232,B$4:B232,B233),""))</f>
        <v/>
      </c>
      <c r="I233" s="23" t="str">
        <f t="shared" si="19"/>
        <v/>
      </c>
      <c r="J233" s="23" t="str">
        <f t="shared" si="20"/>
        <v/>
      </c>
      <c r="K233" s="18" t="str">
        <f t="shared" si="21"/>
        <v/>
      </c>
      <c r="L233" s="16" t="str">
        <f t="shared" ca="1" si="22"/>
        <v/>
      </c>
      <c r="M233" s="25" t="str">
        <f>IF(H233="","",IF(I233&lt;=0,"Shipped",IF(L233&lt;=AGE30,"Fresh",IF(L233&lt;=AGE60,"Watch",IF(L233&lt;=AGE90,"Aging","Old")))))</f>
        <v/>
      </c>
      <c r="N233" s="16" t="str">
        <f t="shared" si="23"/>
        <v/>
      </c>
    </row>
    <row r="234" spans="1:14" x14ac:dyDescent="0.2">
      <c r="A234" s="32"/>
      <c r="B234" s="27"/>
      <c r="C234" s="15" t="str">
        <f>IF(B234="","",IFERROR(INDEX(Items!$B$5:$B$19,MATCH(B234,Items!$A$5:$A$19,0)),"Unknown code"))</f>
        <v/>
      </c>
      <c r="D234" s="29"/>
      <c r="E234" s="18" t="str">
        <f>IF(B234="","",IFERROR(INDEX(Items!$C$5:$C$19,MATCH(B234,Items!$A$5:$A$19,0)),""))</f>
        <v/>
      </c>
      <c r="F234" s="18" t="str">
        <f t="shared" si="18"/>
        <v/>
      </c>
      <c r="G234" s="27"/>
      <c r="H234" s="23" t="str">
        <f>IF(OR(A234="",B234="",D234=""),"",IFERROR(INDEX(Items!$D$5:$D$19,MATCH(B234,Items!$A$5:$A$19,0))+SUMIFS(D$4:D233,B$4:B233,B234),""))</f>
        <v/>
      </c>
      <c r="I234" s="23" t="str">
        <f t="shared" si="19"/>
        <v/>
      </c>
      <c r="J234" s="23" t="str">
        <f t="shared" si="20"/>
        <v/>
      </c>
      <c r="K234" s="18" t="str">
        <f t="shared" si="21"/>
        <v/>
      </c>
      <c r="L234" s="16" t="str">
        <f t="shared" ca="1" si="22"/>
        <v/>
      </c>
      <c r="M234" s="25" t="str">
        <f>IF(H234="","",IF(I234&lt;=0,"Shipped",IF(L234&lt;=AGE30,"Fresh",IF(L234&lt;=AGE60,"Watch",IF(L234&lt;=AGE90,"Aging","Old")))))</f>
        <v/>
      </c>
      <c r="N234" s="16" t="str">
        <f t="shared" si="23"/>
        <v/>
      </c>
    </row>
    <row r="235" spans="1:14" x14ac:dyDescent="0.2">
      <c r="A235" s="32"/>
      <c r="B235" s="27"/>
      <c r="C235" s="15" t="str">
        <f>IF(B235="","",IFERROR(INDEX(Items!$B$5:$B$19,MATCH(B235,Items!$A$5:$A$19,0)),"Unknown code"))</f>
        <v/>
      </c>
      <c r="D235" s="29"/>
      <c r="E235" s="18" t="str">
        <f>IF(B235="","",IFERROR(INDEX(Items!$C$5:$C$19,MATCH(B235,Items!$A$5:$A$19,0)),""))</f>
        <v/>
      </c>
      <c r="F235" s="18" t="str">
        <f t="shared" si="18"/>
        <v/>
      </c>
      <c r="G235" s="27"/>
      <c r="H235" s="23" t="str">
        <f>IF(OR(A235="",B235="",D235=""),"",IFERROR(INDEX(Items!$D$5:$D$19,MATCH(B235,Items!$A$5:$A$19,0))+SUMIFS(D$4:D234,B$4:B234,B235),""))</f>
        <v/>
      </c>
      <c r="I235" s="23" t="str">
        <f t="shared" si="19"/>
        <v/>
      </c>
      <c r="J235" s="23" t="str">
        <f t="shared" si="20"/>
        <v/>
      </c>
      <c r="K235" s="18" t="str">
        <f t="shared" si="21"/>
        <v/>
      </c>
      <c r="L235" s="16" t="str">
        <f t="shared" ca="1" si="22"/>
        <v/>
      </c>
      <c r="M235" s="25" t="str">
        <f>IF(H235="","",IF(I235&lt;=0,"Shipped",IF(L235&lt;=AGE30,"Fresh",IF(L235&lt;=AGE60,"Watch",IF(L235&lt;=AGE90,"Aging","Old")))))</f>
        <v/>
      </c>
      <c r="N235" s="16" t="str">
        <f t="shared" si="23"/>
        <v/>
      </c>
    </row>
    <row r="236" spans="1:14" x14ac:dyDescent="0.2">
      <c r="A236" s="32"/>
      <c r="B236" s="27"/>
      <c r="C236" s="15" t="str">
        <f>IF(B236="","",IFERROR(INDEX(Items!$B$5:$B$19,MATCH(B236,Items!$A$5:$A$19,0)),"Unknown code"))</f>
        <v/>
      </c>
      <c r="D236" s="29"/>
      <c r="E236" s="18" t="str">
        <f>IF(B236="","",IFERROR(INDEX(Items!$C$5:$C$19,MATCH(B236,Items!$A$5:$A$19,0)),""))</f>
        <v/>
      </c>
      <c r="F236" s="18" t="str">
        <f t="shared" si="18"/>
        <v/>
      </c>
      <c r="G236" s="27"/>
      <c r="H236" s="23" t="str">
        <f>IF(OR(A236="",B236="",D236=""),"",IFERROR(INDEX(Items!$D$5:$D$19,MATCH(B236,Items!$A$5:$A$19,0))+SUMIFS(D$4:D235,B$4:B235,B236),""))</f>
        <v/>
      </c>
      <c r="I236" s="23" t="str">
        <f t="shared" si="19"/>
        <v/>
      </c>
      <c r="J236" s="23" t="str">
        <f t="shared" si="20"/>
        <v/>
      </c>
      <c r="K236" s="18" t="str">
        <f t="shared" si="21"/>
        <v/>
      </c>
      <c r="L236" s="16" t="str">
        <f t="shared" ca="1" si="22"/>
        <v/>
      </c>
      <c r="M236" s="25" t="str">
        <f>IF(H236="","",IF(I236&lt;=0,"Shipped",IF(L236&lt;=AGE30,"Fresh",IF(L236&lt;=AGE60,"Watch",IF(L236&lt;=AGE90,"Aging","Old")))))</f>
        <v/>
      </c>
      <c r="N236" s="16" t="str">
        <f t="shared" si="23"/>
        <v/>
      </c>
    </row>
    <row r="237" spans="1:14" x14ac:dyDescent="0.2">
      <c r="A237" s="32"/>
      <c r="B237" s="27"/>
      <c r="C237" s="15" t="str">
        <f>IF(B237="","",IFERROR(INDEX(Items!$B$5:$B$19,MATCH(B237,Items!$A$5:$A$19,0)),"Unknown code"))</f>
        <v/>
      </c>
      <c r="D237" s="29"/>
      <c r="E237" s="18" t="str">
        <f>IF(B237="","",IFERROR(INDEX(Items!$C$5:$C$19,MATCH(B237,Items!$A$5:$A$19,0)),""))</f>
        <v/>
      </c>
      <c r="F237" s="18" t="str">
        <f t="shared" si="18"/>
        <v/>
      </c>
      <c r="G237" s="27"/>
      <c r="H237" s="23" t="str">
        <f>IF(OR(A237="",B237="",D237=""),"",IFERROR(INDEX(Items!$D$5:$D$19,MATCH(B237,Items!$A$5:$A$19,0))+SUMIFS(D$4:D236,B$4:B236,B237),""))</f>
        <v/>
      </c>
      <c r="I237" s="23" t="str">
        <f t="shared" si="19"/>
        <v/>
      </c>
      <c r="J237" s="23" t="str">
        <f t="shared" si="20"/>
        <v/>
      </c>
      <c r="K237" s="18" t="str">
        <f t="shared" si="21"/>
        <v/>
      </c>
      <c r="L237" s="16" t="str">
        <f t="shared" ca="1" si="22"/>
        <v/>
      </c>
      <c r="M237" s="25" t="str">
        <f>IF(H237="","",IF(I237&lt;=0,"Shipped",IF(L237&lt;=AGE30,"Fresh",IF(L237&lt;=AGE60,"Watch",IF(L237&lt;=AGE90,"Aging","Old")))))</f>
        <v/>
      </c>
      <c r="N237" s="16" t="str">
        <f t="shared" si="23"/>
        <v/>
      </c>
    </row>
    <row r="238" spans="1:14" x14ac:dyDescent="0.2">
      <c r="A238" s="32"/>
      <c r="B238" s="27"/>
      <c r="C238" s="15" t="str">
        <f>IF(B238="","",IFERROR(INDEX(Items!$B$5:$B$19,MATCH(B238,Items!$A$5:$A$19,0)),"Unknown code"))</f>
        <v/>
      </c>
      <c r="D238" s="29"/>
      <c r="E238" s="18" t="str">
        <f>IF(B238="","",IFERROR(INDEX(Items!$C$5:$C$19,MATCH(B238,Items!$A$5:$A$19,0)),""))</f>
        <v/>
      </c>
      <c r="F238" s="18" t="str">
        <f t="shared" si="18"/>
        <v/>
      </c>
      <c r="G238" s="27"/>
      <c r="H238" s="23" t="str">
        <f>IF(OR(A238="",B238="",D238=""),"",IFERROR(INDEX(Items!$D$5:$D$19,MATCH(B238,Items!$A$5:$A$19,0))+SUMIFS(D$4:D237,B$4:B237,B238),""))</f>
        <v/>
      </c>
      <c r="I238" s="23" t="str">
        <f t="shared" si="19"/>
        <v/>
      </c>
      <c r="J238" s="23" t="str">
        <f t="shared" si="20"/>
        <v/>
      </c>
      <c r="K238" s="18" t="str">
        <f t="shared" si="21"/>
        <v/>
      </c>
      <c r="L238" s="16" t="str">
        <f t="shared" ca="1" si="22"/>
        <v/>
      </c>
      <c r="M238" s="25" t="str">
        <f>IF(H238="","",IF(I238&lt;=0,"Shipped",IF(L238&lt;=AGE30,"Fresh",IF(L238&lt;=AGE60,"Watch",IF(L238&lt;=AGE90,"Aging","Old")))))</f>
        <v/>
      </c>
      <c r="N238" s="16" t="str">
        <f t="shared" si="23"/>
        <v/>
      </c>
    </row>
    <row r="239" spans="1:14" x14ac:dyDescent="0.2">
      <c r="A239" s="32"/>
      <c r="B239" s="27"/>
      <c r="C239" s="15" t="str">
        <f>IF(B239="","",IFERROR(INDEX(Items!$B$5:$B$19,MATCH(B239,Items!$A$5:$A$19,0)),"Unknown code"))</f>
        <v/>
      </c>
      <c r="D239" s="29"/>
      <c r="E239" s="18" t="str">
        <f>IF(B239="","",IFERROR(INDEX(Items!$C$5:$C$19,MATCH(B239,Items!$A$5:$A$19,0)),""))</f>
        <v/>
      </c>
      <c r="F239" s="18" t="str">
        <f t="shared" si="18"/>
        <v/>
      </c>
      <c r="G239" s="27"/>
      <c r="H239" s="23" t="str">
        <f>IF(OR(A239="",B239="",D239=""),"",IFERROR(INDEX(Items!$D$5:$D$19,MATCH(B239,Items!$A$5:$A$19,0))+SUMIFS(D$4:D238,B$4:B238,B239),""))</f>
        <v/>
      </c>
      <c r="I239" s="23" t="str">
        <f t="shared" si="19"/>
        <v/>
      </c>
      <c r="J239" s="23" t="str">
        <f t="shared" si="20"/>
        <v/>
      </c>
      <c r="K239" s="18" t="str">
        <f t="shared" si="21"/>
        <v/>
      </c>
      <c r="L239" s="16" t="str">
        <f t="shared" ca="1" si="22"/>
        <v/>
      </c>
      <c r="M239" s="25" t="str">
        <f>IF(H239="","",IF(I239&lt;=0,"Shipped",IF(L239&lt;=AGE30,"Fresh",IF(L239&lt;=AGE60,"Watch",IF(L239&lt;=AGE90,"Aging","Old")))))</f>
        <v/>
      </c>
      <c r="N239" s="16" t="str">
        <f t="shared" si="23"/>
        <v/>
      </c>
    </row>
    <row r="240" spans="1:14" x14ac:dyDescent="0.2">
      <c r="A240" s="32"/>
      <c r="B240" s="27"/>
      <c r="C240" s="15" t="str">
        <f>IF(B240="","",IFERROR(INDEX(Items!$B$5:$B$19,MATCH(B240,Items!$A$5:$A$19,0)),"Unknown code"))</f>
        <v/>
      </c>
      <c r="D240" s="29"/>
      <c r="E240" s="18" t="str">
        <f>IF(B240="","",IFERROR(INDEX(Items!$C$5:$C$19,MATCH(B240,Items!$A$5:$A$19,0)),""))</f>
        <v/>
      </c>
      <c r="F240" s="18" t="str">
        <f t="shared" si="18"/>
        <v/>
      </c>
      <c r="G240" s="27"/>
      <c r="H240" s="23" t="str">
        <f>IF(OR(A240="",B240="",D240=""),"",IFERROR(INDEX(Items!$D$5:$D$19,MATCH(B240,Items!$A$5:$A$19,0))+SUMIFS(D$4:D239,B$4:B239,B240),""))</f>
        <v/>
      </c>
      <c r="I240" s="23" t="str">
        <f t="shared" si="19"/>
        <v/>
      </c>
      <c r="J240" s="23" t="str">
        <f t="shared" si="20"/>
        <v/>
      </c>
      <c r="K240" s="18" t="str">
        <f t="shared" si="21"/>
        <v/>
      </c>
      <c r="L240" s="16" t="str">
        <f t="shared" ca="1" si="22"/>
        <v/>
      </c>
      <c r="M240" s="25" t="str">
        <f>IF(H240="","",IF(I240&lt;=0,"Shipped",IF(L240&lt;=AGE30,"Fresh",IF(L240&lt;=AGE60,"Watch",IF(L240&lt;=AGE90,"Aging","Old")))))</f>
        <v/>
      </c>
      <c r="N240" s="16" t="str">
        <f t="shared" si="23"/>
        <v/>
      </c>
    </row>
    <row r="241" spans="1:14" x14ac:dyDescent="0.2">
      <c r="A241" s="32"/>
      <c r="B241" s="27"/>
      <c r="C241" s="15" t="str">
        <f>IF(B241="","",IFERROR(INDEX(Items!$B$5:$B$19,MATCH(B241,Items!$A$5:$A$19,0)),"Unknown code"))</f>
        <v/>
      </c>
      <c r="D241" s="29"/>
      <c r="E241" s="18" t="str">
        <f>IF(B241="","",IFERROR(INDEX(Items!$C$5:$C$19,MATCH(B241,Items!$A$5:$A$19,0)),""))</f>
        <v/>
      </c>
      <c r="F241" s="18" t="str">
        <f t="shared" si="18"/>
        <v/>
      </c>
      <c r="G241" s="27"/>
      <c r="H241" s="23" t="str">
        <f>IF(OR(A241="",B241="",D241=""),"",IFERROR(INDEX(Items!$D$5:$D$19,MATCH(B241,Items!$A$5:$A$19,0))+SUMIFS(D$4:D240,B$4:B240,B241),""))</f>
        <v/>
      </c>
      <c r="I241" s="23" t="str">
        <f t="shared" si="19"/>
        <v/>
      </c>
      <c r="J241" s="23" t="str">
        <f t="shared" si="20"/>
        <v/>
      </c>
      <c r="K241" s="18" t="str">
        <f t="shared" si="21"/>
        <v/>
      </c>
      <c r="L241" s="16" t="str">
        <f t="shared" ca="1" si="22"/>
        <v/>
      </c>
      <c r="M241" s="25" t="str">
        <f>IF(H241="","",IF(I241&lt;=0,"Shipped",IF(L241&lt;=AGE30,"Fresh",IF(L241&lt;=AGE60,"Watch",IF(L241&lt;=AGE90,"Aging","Old")))))</f>
        <v/>
      </c>
      <c r="N241" s="16" t="str">
        <f t="shared" si="23"/>
        <v/>
      </c>
    </row>
    <row r="242" spans="1:14" x14ac:dyDescent="0.2">
      <c r="A242" s="32"/>
      <c r="B242" s="27"/>
      <c r="C242" s="15" t="str">
        <f>IF(B242="","",IFERROR(INDEX(Items!$B$5:$B$19,MATCH(B242,Items!$A$5:$A$19,0)),"Unknown code"))</f>
        <v/>
      </c>
      <c r="D242" s="29"/>
      <c r="E242" s="18" t="str">
        <f>IF(B242="","",IFERROR(INDEX(Items!$C$5:$C$19,MATCH(B242,Items!$A$5:$A$19,0)),""))</f>
        <v/>
      </c>
      <c r="F242" s="18" t="str">
        <f t="shared" si="18"/>
        <v/>
      </c>
      <c r="G242" s="27"/>
      <c r="H242" s="23" t="str">
        <f>IF(OR(A242="",B242="",D242=""),"",IFERROR(INDEX(Items!$D$5:$D$19,MATCH(B242,Items!$A$5:$A$19,0))+SUMIFS(D$4:D241,B$4:B241,B242),""))</f>
        <v/>
      </c>
      <c r="I242" s="23" t="str">
        <f t="shared" si="19"/>
        <v/>
      </c>
      <c r="J242" s="23" t="str">
        <f t="shared" si="20"/>
        <v/>
      </c>
      <c r="K242" s="18" t="str">
        <f t="shared" si="21"/>
        <v/>
      </c>
      <c r="L242" s="16" t="str">
        <f t="shared" ca="1" si="22"/>
        <v/>
      </c>
      <c r="M242" s="25" t="str">
        <f>IF(H242="","",IF(I242&lt;=0,"Shipped",IF(L242&lt;=AGE30,"Fresh",IF(L242&lt;=AGE60,"Watch",IF(L242&lt;=AGE90,"Aging","Old")))))</f>
        <v/>
      </c>
      <c r="N242" s="16" t="str">
        <f t="shared" si="23"/>
        <v/>
      </c>
    </row>
    <row r="243" spans="1:14" x14ac:dyDescent="0.2">
      <c r="A243" s="32"/>
      <c r="B243" s="27"/>
      <c r="C243" s="15" t="str">
        <f>IF(B243="","",IFERROR(INDEX(Items!$B$5:$B$19,MATCH(B243,Items!$A$5:$A$19,0)),"Unknown code"))</f>
        <v/>
      </c>
      <c r="D243" s="29"/>
      <c r="E243" s="18" t="str">
        <f>IF(B243="","",IFERROR(INDEX(Items!$C$5:$C$19,MATCH(B243,Items!$A$5:$A$19,0)),""))</f>
        <v/>
      </c>
      <c r="F243" s="18" t="str">
        <f t="shared" si="18"/>
        <v/>
      </c>
      <c r="G243" s="27"/>
      <c r="H243" s="23" t="str">
        <f>IF(OR(A243="",B243="",D243=""),"",IFERROR(INDEX(Items!$D$5:$D$19,MATCH(B243,Items!$A$5:$A$19,0))+SUMIFS(D$4:D242,B$4:B242,B243),""))</f>
        <v/>
      </c>
      <c r="I243" s="23" t="str">
        <f t="shared" si="19"/>
        <v/>
      </c>
      <c r="J243" s="23" t="str">
        <f t="shared" si="20"/>
        <v/>
      </c>
      <c r="K243" s="18" t="str">
        <f t="shared" si="21"/>
        <v/>
      </c>
      <c r="L243" s="16" t="str">
        <f t="shared" ca="1" si="22"/>
        <v/>
      </c>
      <c r="M243" s="25" t="str">
        <f>IF(H243="","",IF(I243&lt;=0,"Shipped",IF(L243&lt;=AGE30,"Fresh",IF(L243&lt;=AGE60,"Watch",IF(L243&lt;=AGE90,"Aging","Old")))))</f>
        <v/>
      </c>
      <c r="N243" s="16" t="str">
        <f t="shared" si="23"/>
        <v/>
      </c>
    </row>
    <row r="244" spans="1:14" x14ac:dyDescent="0.2">
      <c r="A244" s="32"/>
      <c r="B244" s="27"/>
      <c r="C244" s="15" t="str">
        <f>IF(B244="","",IFERROR(INDEX(Items!$B$5:$B$19,MATCH(B244,Items!$A$5:$A$19,0)),"Unknown code"))</f>
        <v/>
      </c>
      <c r="D244" s="29"/>
      <c r="E244" s="18" t="str">
        <f>IF(B244="","",IFERROR(INDEX(Items!$C$5:$C$19,MATCH(B244,Items!$A$5:$A$19,0)),""))</f>
        <v/>
      </c>
      <c r="F244" s="18" t="str">
        <f t="shared" si="18"/>
        <v/>
      </c>
      <c r="G244" s="27"/>
      <c r="H244" s="23" t="str">
        <f>IF(OR(A244="",B244="",D244=""),"",IFERROR(INDEX(Items!$D$5:$D$19,MATCH(B244,Items!$A$5:$A$19,0))+SUMIFS(D$4:D243,B$4:B243,B244),""))</f>
        <v/>
      </c>
      <c r="I244" s="23" t="str">
        <f t="shared" si="19"/>
        <v/>
      </c>
      <c r="J244" s="23" t="str">
        <f t="shared" si="20"/>
        <v/>
      </c>
      <c r="K244" s="18" t="str">
        <f t="shared" si="21"/>
        <v/>
      </c>
      <c r="L244" s="16" t="str">
        <f t="shared" ca="1" si="22"/>
        <v/>
      </c>
      <c r="M244" s="25" t="str">
        <f>IF(H244="","",IF(I244&lt;=0,"Shipped",IF(L244&lt;=AGE30,"Fresh",IF(L244&lt;=AGE60,"Watch",IF(L244&lt;=AGE90,"Aging","Old")))))</f>
        <v/>
      </c>
      <c r="N244" s="16" t="str">
        <f t="shared" si="23"/>
        <v/>
      </c>
    </row>
    <row r="245" spans="1:14" x14ac:dyDescent="0.2">
      <c r="A245" s="32"/>
      <c r="B245" s="27"/>
      <c r="C245" s="15" t="str">
        <f>IF(B245="","",IFERROR(INDEX(Items!$B$5:$B$19,MATCH(B245,Items!$A$5:$A$19,0)),"Unknown code"))</f>
        <v/>
      </c>
      <c r="D245" s="29"/>
      <c r="E245" s="18" t="str">
        <f>IF(B245="","",IFERROR(INDEX(Items!$C$5:$C$19,MATCH(B245,Items!$A$5:$A$19,0)),""))</f>
        <v/>
      </c>
      <c r="F245" s="18" t="str">
        <f t="shared" si="18"/>
        <v/>
      </c>
      <c r="G245" s="27"/>
      <c r="H245" s="23" t="str">
        <f>IF(OR(A245="",B245="",D245=""),"",IFERROR(INDEX(Items!$D$5:$D$19,MATCH(B245,Items!$A$5:$A$19,0))+SUMIFS(D$4:D244,B$4:B244,B245),""))</f>
        <v/>
      </c>
      <c r="I245" s="23" t="str">
        <f t="shared" si="19"/>
        <v/>
      </c>
      <c r="J245" s="23" t="str">
        <f t="shared" si="20"/>
        <v/>
      </c>
      <c r="K245" s="18" t="str">
        <f t="shared" si="21"/>
        <v/>
      </c>
      <c r="L245" s="16" t="str">
        <f t="shared" ca="1" si="22"/>
        <v/>
      </c>
      <c r="M245" s="25" t="str">
        <f>IF(H245="","",IF(I245&lt;=0,"Shipped",IF(L245&lt;=AGE30,"Fresh",IF(L245&lt;=AGE60,"Watch",IF(L245&lt;=AGE90,"Aging","Old")))))</f>
        <v/>
      </c>
      <c r="N245" s="16" t="str">
        <f t="shared" si="23"/>
        <v/>
      </c>
    </row>
    <row r="246" spans="1:14" x14ac:dyDescent="0.2">
      <c r="A246" s="32"/>
      <c r="B246" s="27"/>
      <c r="C246" s="15" t="str">
        <f>IF(B246="","",IFERROR(INDEX(Items!$B$5:$B$19,MATCH(B246,Items!$A$5:$A$19,0)),"Unknown code"))</f>
        <v/>
      </c>
      <c r="D246" s="29"/>
      <c r="E246" s="18" t="str">
        <f>IF(B246="","",IFERROR(INDEX(Items!$C$5:$C$19,MATCH(B246,Items!$A$5:$A$19,0)),""))</f>
        <v/>
      </c>
      <c r="F246" s="18" t="str">
        <f t="shared" si="18"/>
        <v/>
      </c>
      <c r="G246" s="27"/>
      <c r="H246" s="23" t="str">
        <f>IF(OR(A246="",B246="",D246=""),"",IFERROR(INDEX(Items!$D$5:$D$19,MATCH(B246,Items!$A$5:$A$19,0))+SUMIFS(D$4:D245,B$4:B245,B246),""))</f>
        <v/>
      </c>
      <c r="I246" s="23" t="str">
        <f t="shared" si="19"/>
        <v/>
      </c>
      <c r="J246" s="23" t="str">
        <f t="shared" si="20"/>
        <v/>
      </c>
      <c r="K246" s="18" t="str">
        <f t="shared" si="21"/>
        <v/>
      </c>
      <c r="L246" s="16" t="str">
        <f t="shared" ca="1" si="22"/>
        <v/>
      </c>
      <c r="M246" s="25" t="str">
        <f>IF(H246="","",IF(I246&lt;=0,"Shipped",IF(L246&lt;=AGE30,"Fresh",IF(L246&lt;=AGE60,"Watch",IF(L246&lt;=AGE90,"Aging","Old")))))</f>
        <v/>
      </c>
      <c r="N246" s="16" t="str">
        <f t="shared" si="23"/>
        <v/>
      </c>
    </row>
    <row r="247" spans="1:14" x14ac:dyDescent="0.2">
      <c r="A247" s="32"/>
      <c r="B247" s="27"/>
      <c r="C247" s="15" t="str">
        <f>IF(B247="","",IFERROR(INDEX(Items!$B$5:$B$19,MATCH(B247,Items!$A$5:$A$19,0)),"Unknown code"))</f>
        <v/>
      </c>
      <c r="D247" s="29"/>
      <c r="E247" s="18" t="str">
        <f>IF(B247="","",IFERROR(INDEX(Items!$C$5:$C$19,MATCH(B247,Items!$A$5:$A$19,0)),""))</f>
        <v/>
      </c>
      <c r="F247" s="18" t="str">
        <f t="shared" si="18"/>
        <v/>
      </c>
      <c r="G247" s="27"/>
      <c r="H247" s="23" t="str">
        <f>IF(OR(A247="",B247="",D247=""),"",IFERROR(INDEX(Items!$D$5:$D$19,MATCH(B247,Items!$A$5:$A$19,0))+SUMIFS(D$4:D246,B$4:B246,B247),""))</f>
        <v/>
      </c>
      <c r="I247" s="23" t="str">
        <f t="shared" si="19"/>
        <v/>
      </c>
      <c r="J247" s="23" t="str">
        <f t="shared" si="20"/>
        <v/>
      </c>
      <c r="K247" s="18" t="str">
        <f t="shared" si="21"/>
        <v/>
      </c>
      <c r="L247" s="16" t="str">
        <f t="shared" ca="1" si="22"/>
        <v/>
      </c>
      <c r="M247" s="25" t="str">
        <f>IF(H247="","",IF(I247&lt;=0,"Shipped",IF(L247&lt;=AGE30,"Fresh",IF(L247&lt;=AGE60,"Watch",IF(L247&lt;=AGE90,"Aging","Old")))))</f>
        <v/>
      </c>
      <c r="N247" s="16" t="str">
        <f t="shared" si="23"/>
        <v/>
      </c>
    </row>
    <row r="248" spans="1:14" x14ac:dyDescent="0.2">
      <c r="A248" s="32"/>
      <c r="B248" s="27"/>
      <c r="C248" s="15" t="str">
        <f>IF(B248="","",IFERROR(INDEX(Items!$B$5:$B$19,MATCH(B248,Items!$A$5:$A$19,0)),"Unknown code"))</f>
        <v/>
      </c>
      <c r="D248" s="29"/>
      <c r="E248" s="18" t="str">
        <f>IF(B248="","",IFERROR(INDEX(Items!$C$5:$C$19,MATCH(B248,Items!$A$5:$A$19,0)),""))</f>
        <v/>
      </c>
      <c r="F248" s="18" t="str">
        <f t="shared" si="18"/>
        <v/>
      </c>
      <c r="G248" s="27"/>
      <c r="H248" s="23" t="str">
        <f>IF(OR(A248="",B248="",D248=""),"",IFERROR(INDEX(Items!$D$5:$D$19,MATCH(B248,Items!$A$5:$A$19,0))+SUMIFS(D$4:D247,B$4:B247,B248),""))</f>
        <v/>
      </c>
      <c r="I248" s="23" t="str">
        <f t="shared" si="19"/>
        <v/>
      </c>
      <c r="J248" s="23" t="str">
        <f t="shared" si="20"/>
        <v/>
      </c>
      <c r="K248" s="18" t="str">
        <f t="shared" si="21"/>
        <v/>
      </c>
      <c r="L248" s="16" t="str">
        <f t="shared" ca="1" si="22"/>
        <v/>
      </c>
      <c r="M248" s="25" t="str">
        <f>IF(H248="","",IF(I248&lt;=0,"Shipped",IF(L248&lt;=AGE30,"Fresh",IF(L248&lt;=AGE60,"Watch",IF(L248&lt;=AGE90,"Aging","Old")))))</f>
        <v/>
      </c>
      <c r="N248" s="16" t="str">
        <f t="shared" si="23"/>
        <v/>
      </c>
    </row>
    <row r="249" spans="1:14" x14ac:dyDescent="0.2">
      <c r="A249" s="32"/>
      <c r="B249" s="27"/>
      <c r="C249" s="15" t="str">
        <f>IF(B249="","",IFERROR(INDEX(Items!$B$5:$B$19,MATCH(B249,Items!$A$5:$A$19,0)),"Unknown code"))</f>
        <v/>
      </c>
      <c r="D249" s="29"/>
      <c r="E249" s="18" t="str">
        <f>IF(B249="","",IFERROR(INDEX(Items!$C$5:$C$19,MATCH(B249,Items!$A$5:$A$19,0)),""))</f>
        <v/>
      </c>
      <c r="F249" s="18" t="str">
        <f t="shared" si="18"/>
        <v/>
      </c>
      <c r="G249" s="27"/>
      <c r="H249" s="23" t="str">
        <f>IF(OR(A249="",B249="",D249=""),"",IFERROR(INDEX(Items!$D$5:$D$19,MATCH(B249,Items!$A$5:$A$19,0))+SUMIFS(D$4:D248,B$4:B248,B249),""))</f>
        <v/>
      </c>
      <c r="I249" s="23" t="str">
        <f t="shared" si="19"/>
        <v/>
      </c>
      <c r="J249" s="23" t="str">
        <f t="shared" si="20"/>
        <v/>
      </c>
      <c r="K249" s="18" t="str">
        <f t="shared" si="21"/>
        <v/>
      </c>
      <c r="L249" s="16" t="str">
        <f t="shared" ca="1" si="22"/>
        <v/>
      </c>
      <c r="M249" s="25" t="str">
        <f>IF(H249="","",IF(I249&lt;=0,"Shipped",IF(L249&lt;=AGE30,"Fresh",IF(L249&lt;=AGE60,"Watch",IF(L249&lt;=AGE90,"Aging","Old")))))</f>
        <v/>
      </c>
      <c r="N249" s="16" t="str">
        <f t="shared" si="23"/>
        <v/>
      </c>
    </row>
    <row r="250" spans="1:14" x14ac:dyDescent="0.2">
      <c r="A250" s="32"/>
      <c r="B250" s="27"/>
      <c r="C250" s="15" t="str">
        <f>IF(B250="","",IFERROR(INDEX(Items!$B$5:$B$19,MATCH(B250,Items!$A$5:$A$19,0)),"Unknown code"))</f>
        <v/>
      </c>
      <c r="D250" s="29"/>
      <c r="E250" s="18" t="str">
        <f>IF(B250="","",IFERROR(INDEX(Items!$C$5:$C$19,MATCH(B250,Items!$A$5:$A$19,0)),""))</f>
        <v/>
      </c>
      <c r="F250" s="18" t="str">
        <f t="shared" si="18"/>
        <v/>
      </c>
      <c r="G250" s="27"/>
      <c r="H250" s="23" t="str">
        <f>IF(OR(A250="",B250="",D250=""),"",IFERROR(INDEX(Items!$D$5:$D$19,MATCH(B250,Items!$A$5:$A$19,0))+SUMIFS(D$4:D249,B$4:B249,B250),""))</f>
        <v/>
      </c>
      <c r="I250" s="23" t="str">
        <f t="shared" si="19"/>
        <v/>
      </c>
      <c r="J250" s="23" t="str">
        <f t="shared" si="20"/>
        <v/>
      </c>
      <c r="K250" s="18" t="str">
        <f t="shared" si="21"/>
        <v/>
      </c>
      <c r="L250" s="16" t="str">
        <f t="shared" ca="1" si="22"/>
        <v/>
      </c>
      <c r="M250" s="25" t="str">
        <f>IF(H250="","",IF(I250&lt;=0,"Shipped",IF(L250&lt;=AGE30,"Fresh",IF(L250&lt;=AGE60,"Watch",IF(L250&lt;=AGE90,"Aging","Old")))))</f>
        <v/>
      </c>
      <c r="N250" s="16" t="str">
        <f t="shared" si="23"/>
        <v/>
      </c>
    </row>
    <row r="251" spans="1:14" x14ac:dyDescent="0.2">
      <c r="A251" s="32"/>
      <c r="B251" s="27"/>
      <c r="C251" s="15" t="str">
        <f>IF(B251="","",IFERROR(INDEX(Items!$B$5:$B$19,MATCH(B251,Items!$A$5:$A$19,0)),"Unknown code"))</f>
        <v/>
      </c>
      <c r="D251" s="29"/>
      <c r="E251" s="18" t="str">
        <f>IF(B251="","",IFERROR(INDEX(Items!$C$5:$C$19,MATCH(B251,Items!$A$5:$A$19,0)),""))</f>
        <v/>
      </c>
      <c r="F251" s="18" t="str">
        <f t="shared" si="18"/>
        <v/>
      </c>
      <c r="G251" s="27"/>
      <c r="H251" s="23" t="str">
        <f>IF(OR(A251="",B251="",D251=""),"",IFERROR(INDEX(Items!$D$5:$D$19,MATCH(B251,Items!$A$5:$A$19,0))+SUMIFS(D$4:D250,B$4:B250,B251),""))</f>
        <v/>
      </c>
      <c r="I251" s="23" t="str">
        <f t="shared" si="19"/>
        <v/>
      </c>
      <c r="J251" s="23" t="str">
        <f t="shared" si="20"/>
        <v/>
      </c>
      <c r="K251" s="18" t="str">
        <f t="shared" si="21"/>
        <v/>
      </c>
      <c r="L251" s="16" t="str">
        <f t="shared" ca="1" si="22"/>
        <v/>
      </c>
      <c r="M251" s="25" t="str">
        <f>IF(H251="","",IF(I251&lt;=0,"Shipped",IF(L251&lt;=AGE30,"Fresh",IF(L251&lt;=AGE60,"Watch",IF(L251&lt;=AGE90,"Aging","Old")))))</f>
        <v/>
      </c>
      <c r="N251" s="16" t="str">
        <f t="shared" si="23"/>
        <v/>
      </c>
    </row>
    <row r="252" spans="1:14" x14ac:dyDescent="0.2">
      <c r="A252" s="32"/>
      <c r="B252" s="27"/>
      <c r="C252" s="15" t="str">
        <f>IF(B252="","",IFERROR(INDEX(Items!$B$5:$B$19,MATCH(B252,Items!$A$5:$A$19,0)),"Unknown code"))</f>
        <v/>
      </c>
      <c r="D252" s="29"/>
      <c r="E252" s="18" t="str">
        <f>IF(B252="","",IFERROR(INDEX(Items!$C$5:$C$19,MATCH(B252,Items!$A$5:$A$19,0)),""))</f>
        <v/>
      </c>
      <c r="F252" s="18" t="str">
        <f t="shared" si="18"/>
        <v/>
      </c>
      <c r="G252" s="27"/>
      <c r="H252" s="23" t="str">
        <f>IF(OR(A252="",B252="",D252=""),"",IFERROR(INDEX(Items!$D$5:$D$19,MATCH(B252,Items!$A$5:$A$19,0))+SUMIFS(D$4:D251,B$4:B251,B252),""))</f>
        <v/>
      </c>
      <c r="I252" s="23" t="str">
        <f t="shared" si="19"/>
        <v/>
      </c>
      <c r="J252" s="23" t="str">
        <f t="shared" si="20"/>
        <v/>
      </c>
      <c r="K252" s="18" t="str">
        <f t="shared" si="21"/>
        <v/>
      </c>
      <c r="L252" s="16" t="str">
        <f t="shared" ca="1" si="22"/>
        <v/>
      </c>
      <c r="M252" s="25" t="str">
        <f>IF(H252="","",IF(I252&lt;=0,"Shipped",IF(L252&lt;=AGE30,"Fresh",IF(L252&lt;=AGE60,"Watch",IF(L252&lt;=AGE90,"Aging","Old")))))</f>
        <v/>
      </c>
      <c r="N252" s="16" t="str">
        <f t="shared" si="23"/>
        <v/>
      </c>
    </row>
    <row r="253" spans="1:14" x14ac:dyDescent="0.2">
      <c r="A253" s="32"/>
      <c r="B253" s="27"/>
      <c r="C253" s="15" t="str">
        <f>IF(B253="","",IFERROR(INDEX(Items!$B$5:$B$19,MATCH(B253,Items!$A$5:$A$19,0)),"Unknown code"))</f>
        <v/>
      </c>
      <c r="D253" s="29"/>
      <c r="E253" s="18" t="str">
        <f>IF(B253="","",IFERROR(INDEX(Items!$C$5:$C$19,MATCH(B253,Items!$A$5:$A$19,0)),""))</f>
        <v/>
      </c>
      <c r="F253" s="18" t="str">
        <f t="shared" si="18"/>
        <v/>
      </c>
      <c r="G253" s="27"/>
      <c r="H253" s="23" t="str">
        <f>IF(OR(A253="",B253="",D253=""),"",IFERROR(INDEX(Items!$D$5:$D$19,MATCH(B253,Items!$A$5:$A$19,0))+SUMIFS(D$4:D252,B$4:B252,B253),""))</f>
        <v/>
      </c>
      <c r="I253" s="23" t="str">
        <f t="shared" si="19"/>
        <v/>
      </c>
      <c r="J253" s="23" t="str">
        <f t="shared" si="20"/>
        <v/>
      </c>
      <c r="K253" s="18" t="str">
        <f t="shared" si="21"/>
        <v/>
      </c>
      <c r="L253" s="16" t="str">
        <f t="shared" ca="1" si="22"/>
        <v/>
      </c>
      <c r="M253" s="25" t="str">
        <f>IF(H253="","",IF(I253&lt;=0,"Shipped",IF(L253&lt;=AGE30,"Fresh",IF(L253&lt;=AGE60,"Watch",IF(L253&lt;=AGE90,"Aging","Old")))))</f>
        <v/>
      </c>
      <c r="N253" s="16" t="str">
        <f t="shared" si="23"/>
        <v/>
      </c>
    </row>
    <row r="254" spans="1:14" x14ac:dyDescent="0.2">
      <c r="A254" s="32"/>
      <c r="B254" s="27"/>
      <c r="C254" s="15" t="str">
        <f>IF(B254="","",IFERROR(INDEX(Items!$B$5:$B$19,MATCH(B254,Items!$A$5:$A$19,0)),"Unknown code"))</f>
        <v/>
      </c>
      <c r="D254" s="29"/>
      <c r="E254" s="18" t="str">
        <f>IF(B254="","",IFERROR(INDEX(Items!$C$5:$C$19,MATCH(B254,Items!$A$5:$A$19,0)),""))</f>
        <v/>
      </c>
      <c r="F254" s="18" t="str">
        <f t="shared" si="18"/>
        <v/>
      </c>
      <c r="G254" s="27"/>
      <c r="H254" s="23" t="str">
        <f>IF(OR(A254="",B254="",D254=""),"",IFERROR(INDEX(Items!$D$5:$D$19,MATCH(B254,Items!$A$5:$A$19,0))+SUMIFS(D$4:D253,B$4:B253,B254),""))</f>
        <v/>
      </c>
      <c r="I254" s="23" t="str">
        <f t="shared" si="19"/>
        <v/>
      </c>
      <c r="J254" s="23" t="str">
        <f t="shared" si="20"/>
        <v/>
      </c>
      <c r="K254" s="18" t="str">
        <f t="shared" si="21"/>
        <v/>
      </c>
      <c r="L254" s="16" t="str">
        <f t="shared" ca="1" si="22"/>
        <v/>
      </c>
      <c r="M254" s="25" t="str">
        <f>IF(H254="","",IF(I254&lt;=0,"Shipped",IF(L254&lt;=AGE30,"Fresh",IF(L254&lt;=AGE60,"Watch",IF(L254&lt;=AGE90,"Aging","Old")))))</f>
        <v/>
      </c>
      <c r="N254" s="16" t="str">
        <f t="shared" si="23"/>
        <v/>
      </c>
    </row>
    <row r="255" spans="1:14" x14ac:dyDescent="0.2">
      <c r="A255" s="32"/>
      <c r="B255" s="27"/>
      <c r="C255" s="15" t="str">
        <f>IF(B255="","",IFERROR(INDEX(Items!$B$5:$B$19,MATCH(B255,Items!$A$5:$A$19,0)),"Unknown code"))</f>
        <v/>
      </c>
      <c r="D255" s="29"/>
      <c r="E255" s="18" t="str">
        <f>IF(B255="","",IFERROR(INDEX(Items!$C$5:$C$19,MATCH(B255,Items!$A$5:$A$19,0)),""))</f>
        <v/>
      </c>
      <c r="F255" s="18" t="str">
        <f t="shared" si="18"/>
        <v/>
      </c>
      <c r="G255" s="27"/>
      <c r="H255" s="23" t="str">
        <f>IF(OR(A255="",B255="",D255=""),"",IFERROR(INDEX(Items!$D$5:$D$19,MATCH(B255,Items!$A$5:$A$19,0))+SUMIFS(D$4:D254,B$4:B254,B255),""))</f>
        <v/>
      </c>
      <c r="I255" s="23" t="str">
        <f t="shared" si="19"/>
        <v/>
      </c>
      <c r="J255" s="23" t="str">
        <f t="shared" si="20"/>
        <v/>
      </c>
      <c r="K255" s="18" t="str">
        <f t="shared" si="21"/>
        <v/>
      </c>
      <c r="L255" s="16" t="str">
        <f t="shared" ca="1" si="22"/>
        <v/>
      </c>
      <c r="M255" s="25" t="str">
        <f>IF(H255="","",IF(I255&lt;=0,"Shipped",IF(L255&lt;=AGE30,"Fresh",IF(L255&lt;=AGE60,"Watch",IF(L255&lt;=AGE90,"Aging","Old")))))</f>
        <v/>
      </c>
      <c r="N255" s="16" t="str">
        <f t="shared" si="23"/>
        <v/>
      </c>
    </row>
    <row r="256" spans="1:14" x14ac:dyDescent="0.2">
      <c r="A256" s="32"/>
      <c r="B256" s="27"/>
      <c r="C256" s="15" t="str">
        <f>IF(B256="","",IFERROR(INDEX(Items!$B$5:$B$19,MATCH(B256,Items!$A$5:$A$19,0)),"Unknown code"))</f>
        <v/>
      </c>
      <c r="D256" s="29"/>
      <c r="E256" s="18" t="str">
        <f>IF(B256="","",IFERROR(INDEX(Items!$C$5:$C$19,MATCH(B256,Items!$A$5:$A$19,0)),""))</f>
        <v/>
      </c>
      <c r="F256" s="18" t="str">
        <f t="shared" si="18"/>
        <v/>
      </c>
      <c r="G256" s="27"/>
      <c r="H256" s="23" t="str">
        <f>IF(OR(A256="",B256="",D256=""),"",IFERROR(INDEX(Items!$D$5:$D$19,MATCH(B256,Items!$A$5:$A$19,0))+SUMIFS(D$4:D255,B$4:B255,B256),""))</f>
        <v/>
      </c>
      <c r="I256" s="23" t="str">
        <f t="shared" si="19"/>
        <v/>
      </c>
      <c r="J256" s="23" t="str">
        <f t="shared" si="20"/>
        <v/>
      </c>
      <c r="K256" s="18" t="str">
        <f t="shared" si="21"/>
        <v/>
      </c>
      <c r="L256" s="16" t="str">
        <f t="shared" ca="1" si="22"/>
        <v/>
      </c>
      <c r="M256" s="25" t="str">
        <f>IF(H256="","",IF(I256&lt;=0,"Shipped",IF(L256&lt;=AGE30,"Fresh",IF(L256&lt;=AGE60,"Watch",IF(L256&lt;=AGE90,"Aging","Old")))))</f>
        <v/>
      </c>
      <c r="N256" s="16" t="str">
        <f t="shared" si="23"/>
        <v/>
      </c>
    </row>
    <row r="257" spans="1:14" x14ac:dyDescent="0.2">
      <c r="A257" s="32"/>
      <c r="B257" s="27"/>
      <c r="C257" s="15" t="str">
        <f>IF(B257="","",IFERROR(INDEX(Items!$B$5:$B$19,MATCH(B257,Items!$A$5:$A$19,0)),"Unknown code"))</f>
        <v/>
      </c>
      <c r="D257" s="29"/>
      <c r="E257" s="18" t="str">
        <f>IF(B257="","",IFERROR(INDEX(Items!$C$5:$C$19,MATCH(B257,Items!$A$5:$A$19,0)),""))</f>
        <v/>
      </c>
      <c r="F257" s="18" t="str">
        <f t="shared" si="18"/>
        <v/>
      </c>
      <c r="G257" s="27"/>
      <c r="H257" s="23" t="str">
        <f>IF(OR(A257="",B257="",D257=""),"",IFERROR(INDEX(Items!$D$5:$D$19,MATCH(B257,Items!$A$5:$A$19,0))+SUMIFS(D$4:D256,B$4:B256,B257),""))</f>
        <v/>
      </c>
      <c r="I257" s="23" t="str">
        <f t="shared" si="19"/>
        <v/>
      </c>
      <c r="J257" s="23" t="str">
        <f t="shared" si="20"/>
        <v/>
      </c>
      <c r="K257" s="18" t="str">
        <f t="shared" si="21"/>
        <v/>
      </c>
      <c r="L257" s="16" t="str">
        <f t="shared" ca="1" si="22"/>
        <v/>
      </c>
      <c r="M257" s="25" t="str">
        <f>IF(H257="","",IF(I257&lt;=0,"Shipped",IF(L257&lt;=AGE30,"Fresh",IF(L257&lt;=AGE60,"Watch",IF(L257&lt;=AGE90,"Aging","Old")))))</f>
        <v/>
      </c>
      <c r="N257" s="16" t="str">
        <f t="shared" si="23"/>
        <v/>
      </c>
    </row>
    <row r="258" spans="1:14" x14ac:dyDescent="0.2">
      <c r="A258" s="32"/>
      <c r="B258" s="27"/>
      <c r="C258" s="15" t="str">
        <f>IF(B258="","",IFERROR(INDEX(Items!$B$5:$B$19,MATCH(B258,Items!$A$5:$A$19,0)),"Unknown code"))</f>
        <v/>
      </c>
      <c r="D258" s="29"/>
      <c r="E258" s="18" t="str">
        <f>IF(B258="","",IFERROR(INDEX(Items!$C$5:$C$19,MATCH(B258,Items!$A$5:$A$19,0)),""))</f>
        <v/>
      </c>
      <c r="F258" s="18" t="str">
        <f t="shared" si="18"/>
        <v/>
      </c>
      <c r="G258" s="27"/>
      <c r="H258" s="23" t="str">
        <f>IF(OR(A258="",B258="",D258=""),"",IFERROR(INDEX(Items!$D$5:$D$19,MATCH(B258,Items!$A$5:$A$19,0))+SUMIFS(D$4:D257,B$4:B257,B258),""))</f>
        <v/>
      </c>
      <c r="I258" s="23" t="str">
        <f t="shared" si="19"/>
        <v/>
      </c>
      <c r="J258" s="23" t="str">
        <f t="shared" si="20"/>
        <v/>
      </c>
      <c r="K258" s="18" t="str">
        <f t="shared" si="21"/>
        <v/>
      </c>
      <c r="L258" s="16" t="str">
        <f t="shared" ca="1" si="22"/>
        <v/>
      </c>
      <c r="M258" s="25" t="str">
        <f>IF(H258="","",IF(I258&lt;=0,"Shipped",IF(L258&lt;=AGE30,"Fresh",IF(L258&lt;=AGE60,"Watch",IF(L258&lt;=AGE90,"Aging","Old")))))</f>
        <v/>
      </c>
      <c r="N258" s="16" t="str">
        <f t="shared" si="23"/>
        <v/>
      </c>
    </row>
    <row r="259" spans="1:14" x14ac:dyDescent="0.2">
      <c r="A259" s="32"/>
      <c r="B259" s="27"/>
      <c r="C259" s="15" t="str">
        <f>IF(B259="","",IFERROR(INDEX(Items!$B$5:$B$19,MATCH(B259,Items!$A$5:$A$19,0)),"Unknown code"))</f>
        <v/>
      </c>
      <c r="D259" s="29"/>
      <c r="E259" s="18" t="str">
        <f>IF(B259="","",IFERROR(INDEX(Items!$C$5:$C$19,MATCH(B259,Items!$A$5:$A$19,0)),""))</f>
        <v/>
      </c>
      <c r="F259" s="18" t="str">
        <f t="shared" si="18"/>
        <v/>
      </c>
      <c r="G259" s="27"/>
      <c r="H259" s="23" t="str">
        <f>IF(OR(A259="",B259="",D259=""),"",IFERROR(INDEX(Items!$D$5:$D$19,MATCH(B259,Items!$A$5:$A$19,0))+SUMIFS(D$4:D258,B$4:B258,B259),""))</f>
        <v/>
      </c>
      <c r="I259" s="23" t="str">
        <f t="shared" si="19"/>
        <v/>
      </c>
      <c r="J259" s="23" t="str">
        <f t="shared" si="20"/>
        <v/>
      </c>
      <c r="K259" s="18" t="str">
        <f t="shared" si="21"/>
        <v/>
      </c>
      <c r="L259" s="16" t="str">
        <f t="shared" ca="1" si="22"/>
        <v/>
      </c>
      <c r="M259" s="25" t="str">
        <f>IF(H259="","",IF(I259&lt;=0,"Shipped",IF(L259&lt;=AGE30,"Fresh",IF(L259&lt;=AGE60,"Watch",IF(L259&lt;=AGE90,"Aging","Old")))))</f>
        <v/>
      </c>
      <c r="N259" s="16" t="str">
        <f t="shared" si="23"/>
        <v/>
      </c>
    </row>
    <row r="260" spans="1:14" x14ac:dyDescent="0.2">
      <c r="A260" s="32"/>
      <c r="B260" s="27"/>
      <c r="C260" s="15" t="str">
        <f>IF(B260="","",IFERROR(INDEX(Items!$B$5:$B$19,MATCH(B260,Items!$A$5:$A$19,0)),"Unknown code"))</f>
        <v/>
      </c>
      <c r="D260" s="29"/>
      <c r="E260" s="18" t="str">
        <f>IF(B260="","",IFERROR(INDEX(Items!$C$5:$C$19,MATCH(B260,Items!$A$5:$A$19,0)),""))</f>
        <v/>
      </c>
      <c r="F260" s="18" t="str">
        <f t="shared" si="18"/>
        <v/>
      </c>
      <c r="G260" s="27"/>
      <c r="H260" s="23" t="str">
        <f>IF(OR(A260="",B260="",D260=""),"",IFERROR(INDEX(Items!$D$5:$D$19,MATCH(B260,Items!$A$5:$A$19,0))+SUMIFS(D$4:D259,B$4:B259,B260),""))</f>
        <v/>
      </c>
      <c r="I260" s="23" t="str">
        <f t="shared" si="19"/>
        <v/>
      </c>
      <c r="J260" s="23" t="str">
        <f t="shared" si="20"/>
        <v/>
      </c>
      <c r="K260" s="18" t="str">
        <f t="shared" si="21"/>
        <v/>
      </c>
      <c r="L260" s="16" t="str">
        <f t="shared" ca="1" si="22"/>
        <v/>
      </c>
      <c r="M260" s="25" t="str">
        <f>IF(H260="","",IF(I260&lt;=0,"Shipped",IF(L260&lt;=AGE30,"Fresh",IF(L260&lt;=AGE60,"Watch",IF(L260&lt;=AGE90,"Aging","Old")))))</f>
        <v/>
      </c>
      <c r="N260" s="16" t="str">
        <f t="shared" si="23"/>
        <v/>
      </c>
    </row>
    <row r="261" spans="1:14" x14ac:dyDescent="0.2">
      <c r="A261" s="32"/>
      <c r="B261" s="27"/>
      <c r="C261" s="15" t="str">
        <f>IF(B261="","",IFERROR(INDEX(Items!$B$5:$B$19,MATCH(B261,Items!$A$5:$A$19,0)),"Unknown code"))</f>
        <v/>
      </c>
      <c r="D261" s="29"/>
      <c r="E261" s="18" t="str">
        <f>IF(B261="","",IFERROR(INDEX(Items!$C$5:$C$19,MATCH(B261,Items!$A$5:$A$19,0)),""))</f>
        <v/>
      </c>
      <c r="F261" s="18" t="str">
        <f t="shared" ref="F261:F324" si="24">IF(OR(D261="",E261=""),"",D261*E261)</f>
        <v/>
      </c>
      <c r="G261" s="27"/>
      <c r="H261" s="23" t="str">
        <f>IF(OR(A261="",B261="",D261=""),"",IFERROR(INDEX(Items!$D$5:$D$19,MATCH(B261,Items!$A$5:$A$19,0))+SUMIFS(D$4:D260,B$4:B260,B261),""))</f>
        <v/>
      </c>
      <c r="I261" s="23" t="str">
        <f t="shared" ref="I261:I324" si="25">IF(H261="","",MAX(0,MIN(D261,H261+D261-TotalShipped)))</f>
        <v/>
      </c>
      <c r="J261" s="23" t="str">
        <f t="shared" ref="J261:J324" si="26">IF(H261="","",D261-I261)</f>
        <v/>
      </c>
      <c r="K261" s="18" t="str">
        <f t="shared" ref="K261:K324" si="27">IF(OR(H261="",E261=""),"",I261*E261)</f>
        <v/>
      </c>
      <c r="L261" s="16" t="str">
        <f t="shared" ref="L261:L324" ca="1" si="28">IF(H261="","",IF(I261&gt;0,TODAY()-A261,""))</f>
        <v/>
      </c>
      <c r="M261" s="25" t="str">
        <f>IF(H261="","",IF(I261&lt;=0,"Shipped",IF(L261&lt;=AGE30,"Fresh",IF(L261&lt;=AGE60,"Watch",IF(L261&lt;=AGE90,"Aging","Old")))))</f>
        <v/>
      </c>
      <c r="N261" s="16" t="str">
        <f t="shared" ref="N261:N324" si="29">IF(H261="","",J261*A261)</f>
        <v/>
      </c>
    </row>
    <row r="262" spans="1:14" x14ac:dyDescent="0.2">
      <c r="A262" s="32"/>
      <c r="B262" s="27"/>
      <c r="C262" s="15" t="str">
        <f>IF(B262="","",IFERROR(INDEX(Items!$B$5:$B$19,MATCH(B262,Items!$A$5:$A$19,0)),"Unknown code"))</f>
        <v/>
      </c>
      <c r="D262" s="29"/>
      <c r="E262" s="18" t="str">
        <f>IF(B262="","",IFERROR(INDEX(Items!$C$5:$C$19,MATCH(B262,Items!$A$5:$A$19,0)),""))</f>
        <v/>
      </c>
      <c r="F262" s="18" t="str">
        <f t="shared" si="24"/>
        <v/>
      </c>
      <c r="G262" s="27"/>
      <c r="H262" s="23" t="str">
        <f>IF(OR(A262="",B262="",D262=""),"",IFERROR(INDEX(Items!$D$5:$D$19,MATCH(B262,Items!$A$5:$A$19,0))+SUMIFS(D$4:D261,B$4:B261,B262),""))</f>
        <v/>
      </c>
      <c r="I262" s="23" t="str">
        <f t="shared" si="25"/>
        <v/>
      </c>
      <c r="J262" s="23" t="str">
        <f t="shared" si="26"/>
        <v/>
      </c>
      <c r="K262" s="18" t="str">
        <f t="shared" si="27"/>
        <v/>
      </c>
      <c r="L262" s="16" t="str">
        <f t="shared" ca="1" si="28"/>
        <v/>
      </c>
      <c r="M262" s="25" t="str">
        <f>IF(H262="","",IF(I262&lt;=0,"Shipped",IF(L262&lt;=AGE30,"Fresh",IF(L262&lt;=AGE60,"Watch",IF(L262&lt;=AGE90,"Aging","Old")))))</f>
        <v/>
      </c>
      <c r="N262" s="16" t="str">
        <f t="shared" si="29"/>
        <v/>
      </c>
    </row>
    <row r="263" spans="1:14" x14ac:dyDescent="0.2">
      <c r="A263" s="32"/>
      <c r="B263" s="27"/>
      <c r="C263" s="15" t="str">
        <f>IF(B263="","",IFERROR(INDEX(Items!$B$5:$B$19,MATCH(B263,Items!$A$5:$A$19,0)),"Unknown code"))</f>
        <v/>
      </c>
      <c r="D263" s="29"/>
      <c r="E263" s="18" t="str">
        <f>IF(B263="","",IFERROR(INDEX(Items!$C$5:$C$19,MATCH(B263,Items!$A$5:$A$19,0)),""))</f>
        <v/>
      </c>
      <c r="F263" s="18" t="str">
        <f t="shared" si="24"/>
        <v/>
      </c>
      <c r="G263" s="27"/>
      <c r="H263" s="23" t="str">
        <f>IF(OR(A263="",B263="",D263=""),"",IFERROR(INDEX(Items!$D$5:$D$19,MATCH(B263,Items!$A$5:$A$19,0))+SUMIFS(D$4:D262,B$4:B262,B263),""))</f>
        <v/>
      </c>
      <c r="I263" s="23" t="str">
        <f t="shared" si="25"/>
        <v/>
      </c>
      <c r="J263" s="23" t="str">
        <f t="shared" si="26"/>
        <v/>
      </c>
      <c r="K263" s="18" t="str">
        <f t="shared" si="27"/>
        <v/>
      </c>
      <c r="L263" s="16" t="str">
        <f t="shared" ca="1" si="28"/>
        <v/>
      </c>
      <c r="M263" s="25" t="str">
        <f>IF(H263="","",IF(I263&lt;=0,"Shipped",IF(L263&lt;=AGE30,"Fresh",IF(L263&lt;=AGE60,"Watch",IF(L263&lt;=AGE90,"Aging","Old")))))</f>
        <v/>
      </c>
      <c r="N263" s="16" t="str">
        <f t="shared" si="29"/>
        <v/>
      </c>
    </row>
    <row r="264" spans="1:14" x14ac:dyDescent="0.2">
      <c r="A264" s="32"/>
      <c r="B264" s="27"/>
      <c r="C264" s="15" t="str">
        <f>IF(B264="","",IFERROR(INDEX(Items!$B$5:$B$19,MATCH(B264,Items!$A$5:$A$19,0)),"Unknown code"))</f>
        <v/>
      </c>
      <c r="D264" s="29"/>
      <c r="E264" s="18" t="str">
        <f>IF(B264="","",IFERROR(INDEX(Items!$C$5:$C$19,MATCH(B264,Items!$A$5:$A$19,0)),""))</f>
        <v/>
      </c>
      <c r="F264" s="18" t="str">
        <f t="shared" si="24"/>
        <v/>
      </c>
      <c r="G264" s="27"/>
      <c r="H264" s="23" t="str">
        <f>IF(OR(A264="",B264="",D264=""),"",IFERROR(INDEX(Items!$D$5:$D$19,MATCH(B264,Items!$A$5:$A$19,0))+SUMIFS(D$4:D263,B$4:B263,B264),""))</f>
        <v/>
      </c>
      <c r="I264" s="23" t="str">
        <f t="shared" si="25"/>
        <v/>
      </c>
      <c r="J264" s="23" t="str">
        <f t="shared" si="26"/>
        <v/>
      </c>
      <c r="K264" s="18" t="str">
        <f t="shared" si="27"/>
        <v/>
      </c>
      <c r="L264" s="16" t="str">
        <f t="shared" ca="1" si="28"/>
        <v/>
      </c>
      <c r="M264" s="25" t="str">
        <f>IF(H264="","",IF(I264&lt;=0,"Shipped",IF(L264&lt;=AGE30,"Fresh",IF(L264&lt;=AGE60,"Watch",IF(L264&lt;=AGE90,"Aging","Old")))))</f>
        <v/>
      </c>
      <c r="N264" s="16" t="str">
        <f t="shared" si="29"/>
        <v/>
      </c>
    </row>
    <row r="265" spans="1:14" x14ac:dyDescent="0.2">
      <c r="A265" s="32"/>
      <c r="B265" s="27"/>
      <c r="C265" s="15" t="str">
        <f>IF(B265="","",IFERROR(INDEX(Items!$B$5:$B$19,MATCH(B265,Items!$A$5:$A$19,0)),"Unknown code"))</f>
        <v/>
      </c>
      <c r="D265" s="29"/>
      <c r="E265" s="18" t="str">
        <f>IF(B265="","",IFERROR(INDEX(Items!$C$5:$C$19,MATCH(B265,Items!$A$5:$A$19,0)),""))</f>
        <v/>
      </c>
      <c r="F265" s="18" t="str">
        <f t="shared" si="24"/>
        <v/>
      </c>
      <c r="G265" s="27"/>
      <c r="H265" s="23" t="str">
        <f>IF(OR(A265="",B265="",D265=""),"",IFERROR(INDEX(Items!$D$5:$D$19,MATCH(B265,Items!$A$5:$A$19,0))+SUMIFS(D$4:D264,B$4:B264,B265),""))</f>
        <v/>
      </c>
      <c r="I265" s="23" t="str">
        <f t="shared" si="25"/>
        <v/>
      </c>
      <c r="J265" s="23" t="str">
        <f t="shared" si="26"/>
        <v/>
      </c>
      <c r="K265" s="18" t="str">
        <f t="shared" si="27"/>
        <v/>
      </c>
      <c r="L265" s="16" t="str">
        <f t="shared" ca="1" si="28"/>
        <v/>
      </c>
      <c r="M265" s="25" t="str">
        <f>IF(H265="","",IF(I265&lt;=0,"Shipped",IF(L265&lt;=AGE30,"Fresh",IF(L265&lt;=AGE60,"Watch",IF(L265&lt;=AGE90,"Aging","Old")))))</f>
        <v/>
      </c>
      <c r="N265" s="16" t="str">
        <f t="shared" si="29"/>
        <v/>
      </c>
    </row>
    <row r="266" spans="1:14" x14ac:dyDescent="0.2">
      <c r="A266" s="32"/>
      <c r="B266" s="27"/>
      <c r="C266" s="15" t="str">
        <f>IF(B266="","",IFERROR(INDEX(Items!$B$5:$B$19,MATCH(B266,Items!$A$5:$A$19,0)),"Unknown code"))</f>
        <v/>
      </c>
      <c r="D266" s="29"/>
      <c r="E266" s="18" t="str">
        <f>IF(B266="","",IFERROR(INDEX(Items!$C$5:$C$19,MATCH(B266,Items!$A$5:$A$19,0)),""))</f>
        <v/>
      </c>
      <c r="F266" s="18" t="str">
        <f t="shared" si="24"/>
        <v/>
      </c>
      <c r="G266" s="27"/>
      <c r="H266" s="23" t="str">
        <f>IF(OR(A266="",B266="",D266=""),"",IFERROR(INDEX(Items!$D$5:$D$19,MATCH(B266,Items!$A$5:$A$19,0))+SUMIFS(D$4:D265,B$4:B265,B266),""))</f>
        <v/>
      </c>
      <c r="I266" s="23" t="str">
        <f t="shared" si="25"/>
        <v/>
      </c>
      <c r="J266" s="23" t="str">
        <f t="shared" si="26"/>
        <v/>
      </c>
      <c r="K266" s="18" t="str">
        <f t="shared" si="27"/>
        <v/>
      </c>
      <c r="L266" s="16" t="str">
        <f t="shared" ca="1" si="28"/>
        <v/>
      </c>
      <c r="M266" s="25" t="str">
        <f>IF(H266="","",IF(I266&lt;=0,"Shipped",IF(L266&lt;=AGE30,"Fresh",IF(L266&lt;=AGE60,"Watch",IF(L266&lt;=AGE90,"Aging","Old")))))</f>
        <v/>
      </c>
      <c r="N266" s="16" t="str">
        <f t="shared" si="29"/>
        <v/>
      </c>
    </row>
    <row r="267" spans="1:14" x14ac:dyDescent="0.2">
      <c r="A267" s="32"/>
      <c r="B267" s="27"/>
      <c r="C267" s="15" t="str">
        <f>IF(B267="","",IFERROR(INDEX(Items!$B$5:$B$19,MATCH(B267,Items!$A$5:$A$19,0)),"Unknown code"))</f>
        <v/>
      </c>
      <c r="D267" s="29"/>
      <c r="E267" s="18" t="str">
        <f>IF(B267="","",IFERROR(INDEX(Items!$C$5:$C$19,MATCH(B267,Items!$A$5:$A$19,0)),""))</f>
        <v/>
      </c>
      <c r="F267" s="18" t="str">
        <f t="shared" si="24"/>
        <v/>
      </c>
      <c r="G267" s="27"/>
      <c r="H267" s="23" t="str">
        <f>IF(OR(A267="",B267="",D267=""),"",IFERROR(INDEX(Items!$D$5:$D$19,MATCH(B267,Items!$A$5:$A$19,0))+SUMIFS(D$4:D266,B$4:B266,B267),""))</f>
        <v/>
      </c>
      <c r="I267" s="23" t="str">
        <f t="shared" si="25"/>
        <v/>
      </c>
      <c r="J267" s="23" t="str">
        <f t="shared" si="26"/>
        <v/>
      </c>
      <c r="K267" s="18" t="str">
        <f t="shared" si="27"/>
        <v/>
      </c>
      <c r="L267" s="16" t="str">
        <f t="shared" ca="1" si="28"/>
        <v/>
      </c>
      <c r="M267" s="25" t="str">
        <f>IF(H267="","",IF(I267&lt;=0,"Shipped",IF(L267&lt;=AGE30,"Fresh",IF(L267&lt;=AGE60,"Watch",IF(L267&lt;=AGE90,"Aging","Old")))))</f>
        <v/>
      </c>
      <c r="N267" s="16" t="str">
        <f t="shared" si="29"/>
        <v/>
      </c>
    </row>
    <row r="268" spans="1:14" x14ac:dyDescent="0.2">
      <c r="A268" s="32"/>
      <c r="B268" s="27"/>
      <c r="C268" s="15" t="str">
        <f>IF(B268="","",IFERROR(INDEX(Items!$B$5:$B$19,MATCH(B268,Items!$A$5:$A$19,0)),"Unknown code"))</f>
        <v/>
      </c>
      <c r="D268" s="29"/>
      <c r="E268" s="18" t="str">
        <f>IF(B268="","",IFERROR(INDEX(Items!$C$5:$C$19,MATCH(B268,Items!$A$5:$A$19,0)),""))</f>
        <v/>
      </c>
      <c r="F268" s="18" t="str">
        <f t="shared" si="24"/>
        <v/>
      </c>
      <c r="G268" s="27"/>
      <c r="H268" s="23" t="str">
        <f>IF(OR(A268="",B268="",D268=""),"",IFERROR(INDEX(Items!$D$5:$D$19,MATCH(B268,Items!$A$5:$A$19,0))+SUMIFS(D$4:D267,B$4:B267,B268),""))</f>
        <v/>
      </c>
      <c r="I268" s="23" t="str">
        <f t="shared" si="25"/>
        <v/>
      </c>
      <c r="J268" s="23" t="str">
        <f t="shared" si="26"/>
        <v/>
      </c>
      <c r="K268" s="18" t="str">
        <f t="shared" si="27"/>
        <v/>
      </c>
      <c r="L268" s="16" t="str">
        <f t="shared" ca="1" si="28"/>
        <v/>
      </c>
      <c r="M268" s="25" t="str">
        <f>IF(H268="","",IF(I268&lt;=0,"Shipped",IF(L268&lt;=AGE30,"Fresh",IF(L268&lt;=AGE60,"Watch",IF(L268&lt;=AGE90,"Aging","Old")))))</f>
        <v/>
      </c>
      <c r="N268" s="16" t="str">
        <f t="shared" si="29"/>
        <v/>
      </c>
    </row>
    <row r="269" spans="1:14" x14ac:dyDescent="0.2">
      <c r="A269" s="32"/>
      <c r="B269" s="27"/>
      <c r="C269" s="15" t="str">
        <f>IF(B269="","",IFERROR(INDEX(Items!$B$5:$B$19,MATCH(B269,Items!$A$5:$A$19,0)),"Unknown code"))</f>
        <v/>
      </c>
      <c r="D269" s="29"/>
      <c r="E269" s="18" t="str">
        <f>IF(B269="","",IFERROR(INDEX(Items!$C$5:$C$19,MATCH(B269,Items!$A$5:$A$19,0)),""))</f>
        <v/>
      </c>
      <c r="F269" s="18" t="str">
        <f t="shared" si="24"/>
        <v/>
      </c>
      <c r="G269" s="27"/>
      <c r="H269" s="23" t="str">
        <f>IF(OR(A269="",B269="",D269=""),"",IFERROR(INDEX(Items!$D$5:$D$19,MATCH(B269,Items!$A$5:$A$19,0))+SUMIFS(D$4:D268,B$4:B268,B269),""))</f>
        <v/>
      </c>
      <c r="I269" s="23" t="str">
        <f t="shared" si="25"/>
        <v/>
      </c>
      <c r="J269" s="23" t="str">
        <f t="shared" si="26"/>
        <v/>
      </c>
      <c r="K269" s="18" t="str">
        <f t="shared" si="27"/>
        <v/>
      </c>
      <c r="L269" s="16" t="str">
        <f t="shared" ca="1" si="28"/>
        <v/>
      </c>
      <c r="M269" s="25" t="str">
        <f>IF(H269="","",IF(I269&lt;=0,"Shipped",IF(L269&lt;=AGE30,"Fresh",IF(L269&lt;=AGE60,"Watch",IF(L269&lt;=AGE90,"Aging","Old")))))</f>
        <v/>
      </c>
      <c r="N269" s="16" t="str">
        <f t="shared" si="29"/>
        <v/>
      </c>
    </row>
    <row r="270" spans="1:14" x14ac:dyDescent="0.2">
      <c r="A270" s="32"/>
      <c r="B270" s="27"/>
      <c r="C270" s="15" t="str">
        <f>IF(B270="","",IFERROR(INDEX(Items!$B$5:$B$19,MATCH(B270,Items!$A$5:$A$19,0)),"Unknown code"))</f>
        <v/>
      </c>
      <c r="D270" s="29"/>
      <c r="E270" s="18" t="str">
        <f>IF(B270="","",IFERROR(INDEX(Items!$C$5:$C$19,MATCH(B270,Items!$A$5:$A$19,0)),""))</f>
        <v/>
      </c>
      <c r="F270" s="18" t="str">
        <f t="shared" si="24"/>
        <v/>
      </c>
      <c r="G270" s="27"/>
      <c r="H270" s="23" t="str">
        <f>IF(OR(A270="",B270="",D270=""),"",IFERROR(INDEX(Items!$D$5:$D$19,MATCH(B270,Items!$A$5:$A$19,0))+SUMIFS(D$4:D269,B$4:B269,B270),""))</f>
        <v/>
      </c>
      <c r="I270" s="23" t="str">
        <f t="shared" si="25"/>
        <v/>
      </c>
      <c r="J270" s="23" t="str">
        <f t="shared" si="26"/>
        <v/>
      </c>
      <c r="K270" s="18" t="str">
        <f t="shared" si="27"/>
        <v/>
      </c>
      <c r="L270" s="16" t="str">
        <f t="shared" ca="1" si="28"/>
        <v/>
      </c>
      <c r="M270" s="25" t="str">
        <f>IF(H270="","",IF(I270&lt;=0,"Shipped",IF(L270&lt;=AGE30,"Fresh",IF(L270&lt;=AGE60,"Watch",IF(L270&lt;=AGE90,"Aging","Old")))))</f>
        <v/>
      </c>
      <c r="N270" s="16" t="str">
        <f t="shared" si="29"/>
        <v/>
      </c>
    </row>
    <row r="271" spans="1:14" x14ac:dyDescent="0.2">
      <c r="A271" s="32"/>
      <c r="B271" s="27"/>
      <c r="C271" s="15" t="str">
        <f>IF(B271="","",IFERROR(INDEX(Items!$B$5:$B$19,MATCH(B271,Items!$A$5:$A$19,0)),"Unknown code"))</f>
        <v/>
      </c>
      <c r="D271" s="29"/>
      <c r="E271" s="18" t="str">
        <f>IF(B271="","",IFERROR(INDEX(Items!$C$5:$C$19,MATCH(B271,Items!$A$5:$A$19,0)),""))</f>
        <v/>
      </c>
      <c r="F271" s="18" t="str">
        <f t="shared" si="24"/>
        <v/>
      </c>
      <c r="G271" s="27"/>
      <c r="H271" s="23" t="str">
        <f>IF(OR(A271="",B271="",D271=""),"",IFERROR(INDEX(Items!$D$5:$D$19,MATCH(B271,Items!$A$5:$A$19,0))+SUMIFS(D$4:D270,B$4:B270,B271),""))</f>
        <v/>
      </c>
      <c r="I271" s="23" t="str">
        <f t="shared" si="25"/>
        <v/>
      </c>
      <c r="J271" s="23" t="str">
        <f t="shared" si="26"/>
        <v/>
      </c>
      <c r="K271" s="18" t="str">
        <f t="shared" si="27"/>
        <v/>
      </c>
      <c r="L271" s="16" t="str">
        <f t="shared" ca="1" si="28"/>
        <v/>
      </c>
      <c r="M271" s="25" t="str">
        <f>IF(H271="","",IF(I271&lt;=0,"Shipped",IF(L271&lt;=AGE30,"Fresh",IF(L271&lt;=AGE60,"Watch",IF(L271&lt;=AGE90,"Aging","Old")))))</f>
        <v/>
      </c>
      <c r="N271" s="16" t="str">
        <f t="shared" si="29"/>
        <v/>
      </c>
    </row>
    <row r="272" spans="1:14" x14ac:dyDescent="0.2">
      <c r="A272" s="32"/>
      <c r="B272" s="27"/>
      <c r="C272" s="15" t="str">
        <f>IF(B272="","",IFERROR(INDEX(Items!$B$5:$B$19,MATCH(B272,Items!$A$5:$A$19,0)),"Unknown code"))</f>
        <v/>
      </c>
      <c r="D272" s="29"/>
      <c r="E272" s="18" t="str">
        <f>IF(B272="","",IFERROR(INDEX(Items!$C$5:$C$19,MATCH(B272,Items!$A$5:$A$19,0)),""))</f>
        <v/>
      </c>
      <c r="F272" s="18" t="str">
        <f t="shared" si="24"/>
        <v/>
      </c>
      <c r="G272" s="27"/>
      <c r="H272" s="23" t="str">
        <f>IF(OR(A272="",B272="",D272=""),"",IFERROR(INDEX(Items!$D$5:$D$19,MATCH(B272,Items!$A$5:$A$19,0))+SUMIFS(D$4:D271,B$4:B271,B272),""))</f>
        <v/>
      </c>
      <c r="I272" s="23" t="str">
        <f t="shared" si="25"/>
        <v/>
      </c>
      <c r="J272" s="23" t="str">
        <f t="shared" si="26"/>
        <v/>
      </c>
      <c r="K272" s="18" t="str">
        <f t="shared" si="27"/>
        <v/>
      </c>
      <c r="L272" s="16" t="str">
        <f t="shared" ca="1" si="28"/>
        <v/>
      </c>
      <c r="M272" s="25" t="str">
        <f>IF(H272="","",IF(I272&lt;=0,"Shipped",IF(L272&lt;=AGE30,"Fresh",IF(L272&lt;=AGE60,"Watch",IF(L272&lt;=AGE90,"Aging","Old")))))</f>
        <v/>
      </c>
      <c r="N272" s="16" t="str">
        <f t="shared" si="29"/>
        <v/>
      </c>
    </row>
    <row r="273" spans="1:14" x14ac:dyDescent="0.2">
      <c r="A273" s="32"/>
      <c r="B273" s="27"/>
      <c r="C273" s="15" t="str">
        <f>IF(B273="","",IFERROR(INDEX(Items!$B$5:$B$19,MATCH(B273,Items!$A$5:$A$19,0)),"Unknown code"))</f>
        <v/>
      </c>
      <c r="D273" s="29"/>
      <c r="E273" s="18" t="str">
        <f>IF(B273="","",IFERROR(INDEX(Items!$C$5:$C$19,MATCH(B273,Items!$A$5:$A$19,0)),""))</f>
        <v/>
      </c>
      <c r="F273" s="18" t="str">
        <f t="shared" si="24"/>
        <v/>
      </c>
      <c r="G273" s="27"/>
      <c r="H273" s="23" t="str">
        <f>IF(OR(A273="",B273="",D273=""),"",IFERROR(INDEX(Items!$D$5:$D$19,MATCH(B273,Items!$A$5:$A$19,0))+SUMIFS(D$4:D272,B$4:B272,B273),""))</f>
        <v/>
      </c>
      <c r="I273" s="23" t="str">
        <f t="shared" si="25"/>
        <v/>
      </c>
      <c r="J273" s="23" t="str">
        <f t="shared" si="26"/>
        <v/>
      </c>
      <c r="K273" s="18" t="str">
        <f t="shared" si="27"/>
        <v/>
      </c>
      <c r="L273" s="16" t="str">
        <f t="shared" ca="1" si="28"/>
        <v/>
      </c>
      <c r="M273" s="25" t="str">
        <f>IF(H273="","",IF(I273&lt;=0,"Shipped",IF(L273&lt;=AGE30,"Fresh",IF(L273&lt;=AGE60,"Watch",IF(L273&lt;=AGE90,"Aging","Old")))))</f>
        <v/>
      </c>
      <c r="N273" s="16" t="str">
        <f t="shared" si="29"/>
        <v/>
      </c>
    </row>
    <row r="274" spans="1:14" x14ac:dyDescent="0.2">
      <c r="A274" s="32"/>
      <c r="B274" s="27"/>
      <c r="C274" s="15" t="str">
        <f>IF(B274="","",IFERROR(INDEX(Items!$B$5:$B$19,MATCH(B274,Items!$A$5:$A$19,0)),"Unknown code"))</f>
        <v/>
      </c>
      <c r="D274" s="29"/>
      <c r="E274" s="18" t="str">
        <f>IF(B274="","",IFERROR(INDEX(Items!$C$5:$C$19,MATCH(B274,Items!$A$5:$A$19,0)),""))</f>
        <v/>
      </c>
      <c r="F274" s="18" t="str">
        <f t="shared" si="24"/>
        <v/>
      </c>
      <c r="G274" s="27"/>
      <c r="H274" s="23" t="str">
        <f>IF(OR(A274="",B274="",D274=""),"",IFERROR(INDEX(Items!$D$5:$D$19,MATCH(B274,Items!$A$5:$A$19,0))+SUMIFS(D$4:D273,B$4:B273,B274),""))</f>
        <v/>
      </c>
      <c r="I274" s="23" t="str">
        <f t="shared" si="25"/>
        <v/>
      </c>
      <c r="J274" s="23" t="str">
        <f t="shared" si="26"/>
        <v/>
      </c>
      <c r="K274" s="18" t="str">
        <f t="shared" si="27"/>
        <v/>
      </c>
      <c r="L274" s="16" t="str">
        <f t="shared" ca="1" si="28"/>
        <v/>
      </c>
      <c r="M274" s="25" t="str">
        <f>IF(H274="","",IF(I274&lt;=0,"Shipped",IF(L274&lt;=AGE30,"Fresh",IF(L274&lt;=AGE60,"Watch",IF(L274&lt;=AGE90,"Aging","Old")))))</f>
        <v/>
      </c>
      <c r="N274" s="16" t="str">
        <f t="shared" si="29"/>
        <v/>
      </c>
    </row>
    <row r="275" spans="1:14" x14ac:dyDescent="0.2">
      <c r="A275" s="32"/>
      <c r="B275" s="27"/>
      <c r="C275" s="15" t="str">
        <f>IF(B275="","",IFERROR(INDEX(Items!$B$5:$B$19,MATCH(B275,Items!$A$5:$A$19,0)),"Unknown code"))</f>
        <v/>
      </c>
      <c r="D275" s="29"/>
      <c r="E275" s="18" t="str">
        <f>IF(B275="","",IFERROR(INDEX(Items!$C$5:$C$19,MATCH(B275,Items!$A$5:$A$19,0)),""))</f>
        <v/>
      </c>
      <c r="F275" s="18" t="str">
        <f t="shared" si="24"/>
        <v/>
      </c>
      <c r="G275" s="27"/>
      <c r="H275" s="23" t="str">
        <f>IF(OR(A275="",B275="",D275=""),"",IFERROR(INDEX(Items!$D$5:$D$19,MATCH(B275,Items!$A$5:$A$19,0))+SUMIFS(D$4:D274,B$4:B274,B275),""))</f>
        <v/>
      </c>
      <c r="I275" s="23" t="str">
        <f t="shared" si="25"/>
        <v/>
      </c>
      <c r="J275" s="23" t="str">
        <f t="shared" si="26"/>
        <v/>
      </c>
      <c r="K275" s="18" t="str">
        <f t="shared" si="27"/>
        <v/>
      </c>
      <c r="L275" s="16" t="str">
        <f t="shared" ca="1" si="28"/>
        <v/>
      </c>
      <c r="M275" s="25" t="str">
        <f>IF(H275="","",IF(I275&lt;=0,"Shipped",IF(L275&lt;=AGE30,"Fresh",IF(L275&lt;=AGE60,"Watch",IF(L275&lt;=AGE90,"Aging","Old")))))</f>
        <v/>
      </c>
      <c r="N275" s="16" t="str">
        <f t="shared" si="29"/>
        <v/>
      </c>
    </row>
    <row r="276" spans="1:14" x14ac:dyDescent="0.2">
      <c r="A276" s="32"/>
      <c r="B276" s="27"/>
      <c r="C276" s="15" t="str">
        <f>IF(B276="","",IFERROR(INDEX(Items!$B$5:$B$19,MATCH(B276,Items!$A$5:$A$19,0)),"Unknown code"))</f>
        <v/>
      </c>
      <c r="D276" s="29"/>
      <c r="E276" s="18" t="str">
        <f>IF(B276="","",IFERROR(INDEX(Items!$C$5:$C$19,MATCH(B276,Items!$A$5:$A$19,0)),""))</f>
        <v/>
      </c>
      <c r="F276" s="18" t="str">
        <f t="shared" si="24"/>
        <v/>
      </c>
      <c r="G276" s="27"/>
      <c r="H276" s="23" t="str">
        <f>IF(OR(A276="",B276="",D276=""),"",IFERROR(INDEX(Items!$D$5:$D$19,MATCH(B276,Items!$A$5:$A$19,0))+SUMIFS(D$4:D275,B$4:B275,B276),""))</f>
        <v/>
      </c>
      <c r="I276" s="23" t="str">
        <f t="shared" si="25"/>
        <v/>
      </c>
      <c r="J276" s="23" t="str">
        <f t="shared" si="26"/>
        <v/>
      </c>
      <c r="K276" s="18" t="str">
        <f t="shared" si="27"/>
        <v/>
      </c>
      <c r="L276" s="16" t="str">
        <f t="shared" ca="1" si="28"/>
        <v/>
      </c>
      <c r="M276" s="25" t="str">
        <f>IF(H276="","",IF(I276&lt;=0,"Shipped",IF(L276&lt;=AGE30,"Fresh",IF(L276&lt;=AGE60,"Watch",IF(L276&lt;=AGE90,"Aging","Old")))))</f>
        <v/>
      </c>
      <c r="N276" s="16" t="str">
        <f t="shared" si="29"/>
        <v/>
      </c>
    </row>
    <row r="277" spans="1:14" x14ac:dyDescent="0.2">
      <c r="A277" s="32"/>
      <c r="B277" s="27"/>
      <c r="C277" s="15" t="str">
        <f>IF(B277="","",IFERROR(INDEX(Items!$B$5:$B$19,MATCH(B277,Items!$A$5:$A$19,0)),"Unknown code"))</f>
        <v/>
      </c>
      <c r="D277" s="29"/>
      <c r="E277" s="18" t="str">
        <f>IF(B277="","",IFERROR(INDEX(Items!$C$5:$C$19,MATCH(B277,Items!$A$5:$A$19,0)),""))</f>
        <v/>
      </c>
      <c r="F277" s="18" t="str">
        <f t="shared" si="24"/>
        <v/>
      </c>
      <c r="G277" s="27"/>
      <c r="H277" s="23" t="str">
        <f>IF(OR(A277="",B277="",D277=""),"",IFERROR(INDEX(Items!$D$5:$D$19,MATCH(B277,Items!$A$5:$A$19,0))+SUMIFS(D$4:D276,B$4:B276,B277),""))</f>
        <v/>
      </c>
      <c r="I277" s="23" t="str">
        <f t="shared" si="25"/>
        <v/>
      </c>
      <c r="J277" s="23" t="str">
        <f t="shared" si="26"/>
        <v/>
      </c>
      <c r="K277" s="18" t="str">
        <f t="shared" si="27"/>
        <v/>
      </c>
      <c r="L277" s="16" t="str">
        <f t="shared" ca="1" si="28"/>
        <v/>
      </c>
      <c r="M277" s="25" t="str">
        <f>IF(H277="","",IF(I277&lt;=0,"Shipped",IF(L277&lt;=AGE30,"Fresh",IF(L277&lt;=AGE60,"Watch",IF(L277&lt;=AGE90,"Aging","Old")))))</f>
        <v/>
      </c>
      <c r="N277" s="16" t="str">
        <f t="shared" si="29"/>
        <v/>
      </c>
    </row>
    <row r="278" spans="1:14" x14ac:dyDescent="0.2">
      <c r="A278" s="32"/>
      <c r="B278" s="27"/>
      <c r="C278" s="15" t="str">
        <f>IF(B278="","",IFERROR(INDEX(Items!$B$5:$B$19,MATCH(B278,Items!$A$5:$A$19,0)),"Unknown code"))</f>
        <v/>
      </c>
      <c r="D278" s="29"/>
      <c r="E278" s="18" t="str">
        <f>IF(B278="","",IFERROR(INDEX(Items!$C$5:$C$19,MATCH(B278,Items!$A$5:$A$19,0)),""))</f>
        <v/>
      </c>
      <c r="F278" s="18" t="str">
        <f t="shared" si="24"/>
        <v/>
      </c>
      <c r="G278" s="27"/>
      <c r="H278" s="23" t="str">
        <f>IF(OR(A278="",B278="",D278=""),"",IFERROR(INDEX(Items!$D$5:$D$19,MATCH(B278,Items!$A$5:$A$19,0))+SUMIFS(D$4:D277,B$4:B277,B278),""))</f>
        <v/>
      </c>
      <c r="I278" s="23" t="str">
        <f t="shared" si="25"/>
        <v/>
      </c>
      <c r="J278" s="23" t="str">
        <f t="shared" si="26"/>
        <v/>
      </c>
      <c r="K278" s="18" t="str">
        <f t="shared" si="27"/>
        <v/>
      </c>
      <c r="L278" s="16" t="str">
        <f t="shared" ca="1" si="28"/>
        <v/>
      </c>
      <c r="M278" s="25" t="str">
        <f>IF(H278="","",IF(I278&lt;=0,"Shipped",IF(L278&lt;=AGE30,"Fresh",IF(L278&lt;=AGE60,"Watch",IF(L278&lt;=AGE90,"Aging","Old")))))</f>
        <v/>
      </c>
      <c r="N278" s="16" t="str">
        <f t="shared" si="29"/>
        <v/>
      </c>
    </row>
    <row r="279" spans="1:14" x14ac:dyDescent="0.2">
      <c r="A279" s="32"/>
      <c r="B279" s="27"/>
      <c r="C279" s="15" t="str">
        <f>IF(B279="","",IFERROR(INDEX(Items!$B$5:$B$19,MATCH(B279,Items!$A$5:$A$19,0)),"Unknown code"))</f>
        <v/>
      </c>
      <c r="D279" s="29"/>
      <c r="E279" s="18" t="str">
        <f>IF(B279="","",IFERROR(INDEX(Items!$C$5:$C$19,MATCH(B279,Items!$A$5:$A$19,0)),""))</f>
        <v/>
      </c>
      <c r="F279" s="18" t="str">
        <f t="shared" si="24"/>
        <v/>
      </c>
      <c r="G279" s="27"/>
      <c r="H279" s="23" t="str">
        <f>IF(OR(A279="",B279="",D279=""),"",IFERROR(INDEX(Items!$D$5:$D$19,MATCH(B279,Items!$A$5:$A$19,0))+SUMIFS(D$4:D278,B$4:B278,B279),""))</f>
        <v/>
      </c>
      <c r="I279" s="23" t="str">
        <f t="shared" si="25"/>
        <v/>
      </c>
      <c r="J279" s="23" t="str">
        <f t="shared" si="26"/>
        <v/>
      </c>
      <c r="K279" s="18" t="str">
        <f t="shared" si="27"/>
        <v/>
      </c>
      <c r="L279" s="16" t="str">
        <f t="shared" ca="1" si="28"/>
        <v/>
      </c>
      <c r="M279" s="25" t="str">
        <f>IF(H279="","",IF(I279&lt;=0,"Shipped",IF(L279&lt;=AGE30,"Fresh",IF(L279&lt;=AGE60,"Watch",IF(L279&lt;=AGE90,"Aging","Old")))))</f>
        <v/>
      </c>
      <c r="N279" s="16" t="str">
        <f t="shared" si="29"/>
        <v/>
      </c>
    </row>
    <row r="280" spans="1:14" x14ac:dyDescent="0.2">
      <c r="A280" s="32"/>
      <c r="B280" s="27"/>
      <c r="C280" s="15" t="str">
        <f>IF(B280="","",IFERROR(INDEX(Items!$B$5:$B$19,MATCH(B280,Items!$A$5:$A$19,0)),"Unknown code"))</f>
        <v/>
      </c>
      <c r="D280" s="29"/>
      <c r="E280" s="18" t="str">
        <f>IF(B280="","",IFERROR(INDEX(Items!$C$5:$C$19,MATCH(B280,Items!$A$5:$A$19,0)),""))</f>
        <v/>
      </c>
      <c r="F280" s="18" t="str">
        <f t="shared" si="24"/>
        <v/>
      </c>
      <c r="G280" s="27"/>
      <c r="H280" s="23" t="str">
        <f>IF(OR(A280="",B280="",D280=""),"",IFERROR(INDEX(Items!$D$5:$D$19,MATCH(B280,Items!$A$5:$A$19,0))+SUMIFS(D$4:D279,B$4:B279,B280),""))</f>
        <v/>
      </c>
      <c r="I280" s="23" t="str">
        <f t="shared" si="25"/>
        <v/>
      </c>
      <c r="J280" s="23" t="str">
        <f t="shared" si="26"/>
        <v/>
      </c>
      <c r="K280" s="18" t="str">
        <f t="shared" si="27"/>
        <v/>
      </c>
      <c r="L280" s="16" t="str">
        <f t="shared" ca="1" si="28"/>
        <v/>
      </c>
      <c r="M280" s="25" t="str">
        <f>IF(H280="","",IF(I280&lt;=0,"Shipped",IF(L280&lt;=AGE30,"Fresh",IF(L280&lt;=AGE60,"Watch",IF(L280&lt;=AGE90,"Aging","Old")))))</f>
        <v/>
      </c>
      <c r="N280" s="16" t="str">
        <f t="shared" si="29"/>
        <v/>
      </c>
    </row>
    <row r="281" spans="1:14" x14ac:dyDescent="0.2">
      <c r="A281" s="32"/>
      <c r="B281" s="27"/>
      <c r="C281" s="15" t="str">
        <f>IF(B281="","",IFERROR(INDEX(Items!$B$5:$B$19,MATCH(B281,Items!$A$5:$A$19,0)),"Unknown code"))</f>
        <v/>
      </c>
      <c r="D281" s="29"/>
      <c r="E281" s="18" t="str">
        <f>IF(B281="","",IFERROR(INDEX(Items!$C$5:$C$19,MATCH(B281,Items!$A$5:$A$19,0)),""))</f>
        <v/>
      </c>
      <c r="F281" s="18" t="str">
        <f t="shared" si="24"/>
        <v/>
      </c>
      <c r="G281" s="27"/>
      <c r="H281" s="23" t="str">
        <f>IF(OR(A281="",B281="",D281=""),"",IFERROR(INDEX(Items!$D$5:$D$19,MATCH(B281,Items!$A$5:$A$19,0))+SUMIFS(D$4:D280,B$4:B280,B281),""))</f>
        <v/>
      </c>
      <c r="I281" s="23" t="str">
        <f t="shared" si="25"/>
        <v/>
      </c>
      <c r="J281" s="23" t="str">
        <f t="shared" si="26"/>
        <v/>
      </c>
      <c r="K281" s="18" t="str">
        <f t="shared" si="27"/>
        <v/>
      </c>
      <c r="L281" s="16" t="str">
        <f t="shared" ca="1" si="28"/>
        <v/>
      </c>
      <c r="M281" s="25" t="str">
        <f>IF(H281="","",IF(I281&lt;=0,"Shipped",IF(L281&lt;=AGE30,"Fresh",IF(L281&lt;=AGE60,"Watch",IF(L281&lt;=AGE90,"Aging","Old")))))</f>
        <v/>
      </c>
      <c r="N281" s="16" t="str">
        <f t="shared" si="29"/>
        <v/>
      </c>
    </row>
    <row r="282" spans="1:14" x14ac:dyDescent="0.2">
      <c r="A282" s="32"/>
      <c r="B282" s="27"/>
      <c r="C282" s="15" t="str">
        <f>IF(B282="","",IFERROR(INDEX(Items!$B$5:$B$19,MATCH(B282,Items!$A$5:$A$19,0)),"Unknown code"))</f>
        <v/>
      </c>
      <c r="D282" s="29"/>
      <c r="E282" s="18" t="str">
        <f>IF(B282="","",IFERROR(INDEX(Items!$C$5:$C$19,MATCH(B282,Items!$A$5:$A$19,0)),""))</f>
        <v/>
      </c>
      <c r="F282" s="18" t="str">
        <f t="shared" si="24"/>
        <v/>
      </c>
      <c r="G282" s="27"/>
      <c r="H282" s="23" t="str">
        <f>IF(OR(A282="",B282="",D282=""),"",IFERROR(INDEX(Items!$D$5:$D$19,MATCH(B282,Items!$A$5:$A$19,0))+SUMIFS(D$4:D281,B$4:B281,B282),""))</f>
        <v/>
      </c>
      <c r="I282" s="23" t="str">
        <f t="shared" si="25"/>
        <v/>
      </c>
      <c r="J282" s="23" t="str">
        <f t="shared" si="26"/>
        <v/>
      </c>
      <c r="K282" s="18" t="str">
        <f t="shared" si="27"/>
        <v/>
      </c>
      <c r="L282" s="16" t="str">
        <f t="shared" ca="1" si="28"/>
        <v/>
      </c>
      <c r="M282" s="25" t="str">
        <f>IF(H282="","",IF(I282&lt;=0,"Shipped",IF(L282&lt;=AGE30,"Fresh",IF(L282&lt;=AGE60,"Watch",IF(L282&lt;=AGE90,"Aging","Old")))))</f>
        <v/>
      </c>
      <c r="N282" s="16" t="str">
        <f t="shared" si="29"/>
        <v/>
      </c>
    </row>
    <row r="283" spans="1:14" x14ac:dyDescent="0.2">
      <c r="A283" s="32"/>
      <c r="B283" s="27"/>
      <c r="C283" s="15" t="str">
        <f>IF(B283="","",IFERROR(INDEX(Items!$B$5:$B$19,MATCH(B283,Items!$A$5:$A$19,0)),"Unknown code"))</f>
        <v/>
      </c>
      <c r="D283" s="29"/>
      <c r="E283" s="18" t="str">
        <f>IF(B283="","",IFERROR(INDEX(Items!$C$5:$C$19,MATCH(B283,Items!$A$5:$A$19,0)),""))</f>
        <v/>
      </c>
      <c r="F283" s="18" t="str">
        <f t="shared" si="24"/>
        <v/>
      </c>
      <c r="G283" s="27"/>
      <c r="H283" s="23" t="str">
        <f>IF(OR(A283="",B283="",D283=""),"",IFERROR(INDEX(Items!$D$5:$D$19,MATCH(B283,Items!$A$5:$A$19,0))+SUMIFS(D$4:D282,B$4:B282,B283),""))</f>
        <v/>
      </c>
      <c r="I283" s="23" t="str">
        <f t="shared" si="25"/>
        <v/>
      </c>
      <c r="J283" s="23" t="str">
        <f t="shared" si="26"/>
        <v/>
      </c>
      <c r="K283" s="18" t="str">
        <f t="shared" si="27"/>
        <v/>
      </c>
      <c r="L283" s="16" t="str">
        <f t="shared" ca="1" si="28"/>
        <v/>
      </c>
      <c r="M283" s="25" t="str">
        <f>IF(H283="","",IF(I283&lt;=0,"Shipped",IF(L283&lt;=AGE30,"Fresh",IF(L283&lt;=AGE60,"Watch",IF(L283&lt;=AGE90,"Aging","Old")))))</f>
        <v/>
      </c>
      <c r="N283" s="16" t="str">
        <f t="shared" si="29"/>
        <v/>
      </c>
    </row>
    <row r="284" spans="1:14" x14ac:dyDescent="0.2">
      <c r="A284" s="32"/>
      <c r="B284" s="27"/>
      <c r="C284" s="15" t="str">
        <f>IF(B284="","",IFERROR(INDEX(Items!$B$5:$B$19,MATCH(B284,Items!$A$5:$A$19,0)),"Unknown code"))</f>
        <v/>
      </c>
      <c r="D284" s="29"/>
      <c r="E284" s="18" t="str">
        <f>IF(B284="","",IFERROR(INDEX(Items!$C$5:$C$19,MATCH(B284,Items!$A$5:$A$19,0)),""))</f>
        <v/>
      </c>
      <c r="F284" s="18" t="str">
        <f t="shared" si="24"/>
        <v/>
      </c>
      <c r="G284" s="27"/>
      <c r="H284" s="23" t="str">
        <f>IF(OR(A284="",B284="",D284=""),"",IFERROR(INDEX(Items!$D$5:$D$19,MATCH(B284,Items!$A$5:$A$19,0))+SUMIFS(D$4:D283,B$4:B283,B284),""))</f>
        <v/>
      </c>
      <c r="I284" s="23" t="str">
        <f t="shared" si="25"/>
        <v/>
      </c>
      <c r="J284" s="23" t="str">
        <f t="shared" si="26"/>
        <v/>
      </c>
      <c r="K284" s="18" t="str">
        <f t="shared" si="27"/>
        <v/>
      </c>
      <c r="L284" s="16" t="str">
        <f t="shared" ca="1" si="28"/>
        <v/>
      </c>
      <c r="M284" s="25" t="str">
        <f>IF(H284="","",IF(I284&lt;=0,"Shipped",IF(L284&lt;=AGE30,"Fresh",IF(L284&lt;=AGE60,"Watch",IF(L284&lt;=AGE90,"Aging","Old")))))</f>
        <v/>
      </c>
      <c r="N284" s="16" t="str">
        <f t="shared" si="29"/>
        <v/>
      </c>
    </row>
    <row r="285" spans="1:14" x14ac:dyDescent="0.2">
      <c r="A285" s="32"/>
      <c r="B285" s="27"/>
      <c r="C285" s="15" t="str">
        <f>IF(B285="","",IFERROR(INDEX(Items!$B$5:$B$19,MATCH(B285,Items!$A$5:$A$19,0)),"Unknown code"))</f>
        <v/>
      </c>
      <c r="D285" s="29"/>
      <c r="E285" s="18" t="str">
        <f>IF(B285="","",IFERROR(INDEX(Items!$C$5:$C$19,MATCH(B285,Items!$A$5:$A$19,0)),""))</f>
        <v/>
      </c>
      <c r="F285" s="18" t="str">
        <f t="shared" si="24"/>
        <v/>
      </c>
      <c r="G285" s="27"/>
      <c r="H285" s="23" t="str">
        <f>IF(OR(A285="",B285="",D285=""),"",IFERROR(INDEX(Items!$D$5:$D$19,MATCH(B285,Items!$A$5:$A$19,0))+SUMIFS(D$4:D284,B$4:B284,B285),""))</f>
        <v/>
      </c>
      <c r="I285" s="23" t="str">
        <f t="shared" si="25"/>
        <v/>
      </c>
      <c r="J285" s="23" t="str">
        <f t="shared" si="26"/>
        <v/>
      </c>
      <c r="K285" s="18" t="str">
        <f t="shared" si="27"/>
        <v/>
      </c>
      <c r="L285" s="16" t="str">
        <f t="shared" ca="1" si="28"/>
        <v/>
      </c>
      <c r="M285" s="25" t="str">
        <f>IF(H285="","",IF(I285&lt;=0,"Shipped",IF(L285&lt;=AGE30,"Fresh",IF(L285&lt;=AGE60,"Watch",IF(L285&lt;=AGE90,"Aging","Old")))))</f>
        <v/>
      </c>
      <c r="N285" s="16" t="str">
        <f t="shared" si="29"/>
        <v/>
      </c>
    </row>
    <row r="286" spans="1:14" x14ac:dyDescent="0.2">
      <c r="A286" s="32"/>
      <c r="B286" s="27"/>
      <c r="C286" s="15" t="str">
        <f>IF(B286="","",IFERROR(INDEX(Items!$B$5:$B$19,MATCH(B286,Items!$A$5:$A$19,0)),"Unknown code"))</f>
        <v/>
      </c>
      <c r="D286" s="29"/>
      <c r="E286" s="18" t="str">
        <f>IF(B286="","",IFERROR(INDEX(Items!$C$5:$C$19,MATCH(B286,Items!$A$5:$A$19,0)),""))</f>
        <v/>
      </c>
      <c r="F286" s="18" t="str">
        <f t="shared" si="24"/>
        <v/>
      </c>
      <c r="G286" s="27"/>
      <c r="H286" s="23" t="str">
        <f>IF(OR(A286="",B286="",D286=""),"",IFERROR(INDEX(Items!$D$5:$D$19,MATCH(B286,Items!$A$5:$A$19,0))+SUMIFS(D$4:D285,B$4:B285,B286),""))</f>
        <v/>
      </c>
      <c r="I286" s="23" t="str">
        <f t="shared" si="25"/>
        <v/>
      </c>
      <c r="J286" s="23" t="str">
        <f t="shared" si="26"/>
        <v/>
      </c>
      <c r="K286" s="18" t="str">
        <f t="shared" si="27"/>
        <v/>
      </c>
      <c r="L286" s="16" t="str">
        <f t="shared" ca="1" si="28"/>
        <v/>
      </c>
      <c r="M286" s="25" t="str">
        <f>IF(H286="","",IF(I286&lt;=0,"Shipped",IF(L286&lt;=AGE30,"Fresh",IF(L286&lt;=AGE60,"Watch",IF(L286&lt;=AGE90,"Aging","Old")))))</f>
        <v/>
      </c>
      <c r="N286" s="16" t="str">
        <f t="shared" si="29"/>
        <v/>
      </c>
    </row>
    <row r="287" spans="1:14" x14ac:dyDescent="0.2">
      <c r="A287" s="32"/>
      <c r="B287" s="27"/>
      <c r="C287" s="15" t="str">
        <f>IF(B287="","",IFERROR(INDEX(Items!$B$5:$B$19,MATCH(B287,Items!$A$5:$A$19,0)),"Unknown code"))</f>
        <v/>
      </c>
      <c r="D287" s="29"/>
      <c r="E287" s="18" t="str">
        <f>IF(B287="","",IFERROR(INDEX(Items!$C$5:$C$19,MATCH(B287,Items!$A$5:$A$19,0)),""))</f>
        <v/>
      </c>
      <c r="F287" s="18" t="str">
        <f t="shared" si="24"/>
        <v/>
      </c>
      <c r="G287" s="27"/>
      <c r="H287" s="23" t="str">
        <f>IF(OR(A287="",B287="",D287=""),"",IFERROR(INDEX(Items!$D$5:$D$19,MATCH(B287,Items!$A$5:$A$19,0))+SUMIFS(D$4:D286,B$4:B286,B287),""))</f>
        <v/>
      </c>
      <c r="I287" s="23" t="str">
        <f t="shared" si="25"/>
        <v/>
      </c>
      <c r="J287" s="23" t="str">
        <f t="shared" si="26"/>
        <v/>
      </c>
      <c r="K287" s="18" t="str">
        <f t="shared" si="27"/>
        <v/>
      </c>
      <c r="L287" s="16" t="str">
        <f t="shared" ca="1" si="28"/>
        <v/>
      </c>
      <c r="M287" s="25" t="str">
        <f>IF(H287="","",IF(I287&lt;=0,"Shipped",IF(L287&lt;=AGE30,"Fresh",IF(L287&lt;=AGE60,"Watch",IF(L287&lt;=AGE90,"Aging","Old")))))</f>
        <v/>
      </c>
      <c r="N287" s="16" t="str">
        <f t="shared" si="29"/>
        <v/>
      </c>
    </row>
    <row r="288" spans="1:14" x14ac:dyDescent="0.2">
      <c r="A288" s="32"/>
      <c r="B288" s="27"/>
      <c r="C288" s="15" t="str">
        <f>IF(B288="","",IFERROR(INDEX(Items!$B$5:$B$19,MATCH(B288,Items!$A$5:$A$19,0)),"Unknown code"))</f>
        <v/>
      </c>
      <c r="D288" s="29"/>
      <c r="E288" s="18" t="str">
        <f>IF(B288="","",IFERROR(INDEX(Items!$C$5:$C$19,MATCH(B288,Items!$A$5:$A$19,0)),""))</f>
        <v/>
      </c>
      <c r="F288" s="18" t="str">
        <f t="shared" si="24"/>
        <v/>
      </c>
      <c r="G288" s="27"/>
      <c r="H288" s="23" t="str">
        <f>IF(OR(A288="",B288="",D288=""),"",IFERROR(INDEX(Items!$D$5:$D$19,MATCH(B288,Items!$A$5:$A$19,0))+SUMIFS(D$4:D287,B$4:B287,B288),""))</f>
        <v/>
      </c>
      <c r="I288" s="23" t="str">
        <f t="shared" si="25"/>
        <v/>
      </c>
      <c r="J288" s="23" t="str">
        <f t="shared" si="26"/>
        <v/>
      </c>
      <c r="K288" s="18" t="str">
        <f t="shared" si="27"/>
        <v/>
      </c>
      <c r="L288" s="16" t="str">
        <f t="shared" ca="1" si="28"/>
        <v/>
      </c>
      <c r="M288" s="25" t="str">
        <f>IF(H288="","",IF(I288&lt;=0,"Shipped",IF(L288&lt;=AGE30,"Fresh",IF(L288&lt;=AGE60,"Watch",IF(L288&lt;=AGE90,"Aging","Old")))))</f>
        <v/>
      </c>
      <c r="N288" s="16" t="str">
        <f t="shared" si="29"/>
        <v/>
      </c>
    </row>
    <row r="289" spans="1:14" x14ac:dyDescent="0.2">
      <c r="A289" s="32"/>
      <c r="B289" s="27"/>
      <c r="C289" s="15" t="str">
        <f>IF(B289="","",IFERROR(INDEX(Items!$B$5:$B$19,MATCH(B289,Items!$A$5:$A$19,0)),"Unknown code"))</f>
        <v/>
      </c>
      <c r="D289" s="29"/>
      <c r="E289" s="18" t="str">
        <f>IF(B289="","",IFERROR(INDEX(Items!$C$5:$C$19,MATCH(B289,Items!$A$5:$A$19,0)),""))</f>
        <v/>
      </c>
      <c r="F289" s="18" t="str">
        <f t="shared" si="24"/>
        <v/>
      </c>
      <c r="G289" s="27"/>
      <c r="H289" s="23" t="str">
        <f>IF(OR(A289="",B289="",D289=""),"",IFERROR(INDEX(Items!$D$5:$D$19,MATCH(B289,Items!$A$5:$A$19,0))+SUMIFS(D$4:D288,B$4:B288,B289),""))</f>
        <v/>
      </c>
      <c r="I289" s="23" t="str">
        <f t="shared" si="25"/>
        <v/>
      </c>
      <c r="J289" s="23" t="str">
        <f t="shared" si="26"/>
        <v/>
      </c>
      <c r="K289" s="18" t="str">
        <f t="shared" si="27"/>
        <v/>
      </c>
      <c r="L289" s="16" t="str">
        <f t="shared" ca="1" si="28"/>
        <v/>
      </c>
      <c r="M289" s="25" t="str">
        <f>IF(H289="","",IF(I289&lt;=0,"Shipped",IF(L289&lt;=AGE30,"Fresh",IF(L289&lt;=AGE60,"Watch",IF(L289&lt;=AGE90,"Aging","Old")))))</f>
        <v/>
      </c>
      <c r="N289" s="16" t="str">
        <f t="shared" si="29"/>
        <v/>
      </c>
    </row>
    <row r="290" spans="1:14" x14ac:dyDescent="0.2">
      <c r="A290" s="32"/>
      <c r="B290" s="27"/>
      <c r="C290" s="15" t="str">
        <f>IF(B290="","",IFERROR(INDEX(Items!$B$5:$B$19,MATCH(B290,Items!$A$5:$A$19,0)),"Unknown code"))</f>
        <v/>
      </c>
      <c r="D290" s="29"/>
      <c r="E290" s="18" t="str">
        <f>IF(B290="","",IFERROR(INDEX(Items!$C$5:$C$19,MATCH(B290,Items!$A$5:$A$19,0)),""))</f>
        <v/>
      </c>
      <c r="F290" s="18" t="str">
        <f t="shared" si="24"/>
        <v/>
      </c>
      <c r="G290" s="27"/>
      <c r="H290" s="23" t="str">
        <f>IF(OR(A290="",B290="",D290=""),"",IFERROR(INDEX(Items!$D$5:$D$19,MATCH(B290,Items!$A$5:$A$19,0))+SUMIFS(D$4:D289,B$4:B289,B290),""))</f>
        <v/>
      </c>
      <c r="I290" s="23" t="str">
        <f t="shared" si="25"/>
        <v/>
      </c>
      <c r="J290" s="23" t="str">
        <f t="shared" si="26"/>
        <v/>
      </c>
      <c r="K290" s="18" t="str">
        <f t="shared" si="27"/>
        <v/>
      </c>
      <c r="L290" s="16" t="str">
        <f t="shared" ca="1" si="28"/>
        <v/>
      </c>
      <c r="M290" s="25" t="str">
        <f>IF(H290="","",IF(I290&lt;=0,"Shipped",IF(L290&lt;=AGE30,"Fresh",IF(L290&lt;=AGE60,"Watch",IF(L290&lt;=AGE90,"Aging","Old")))))</f>
        <v/>
      </c>
      <c r="N290" s="16" t="str">
        <f t="shared" si="29"/>
        <v/>
      </c>
    </row>
    <row r="291" spans="1:14" x14ac:dyDescent="0.2">
      <c r="A291" s="32"/>
      <c r="B291" s="27"/>
      <c r="C291" s="15" t="str">
        <f>IF(B291="","",IFERROR(INDEX(Items!$B$5:$B$19,MATCH(B291,Items!$A$5:$A$19,0)),"Unknown code"))</f>
        <v/>
      </c>
      <c r="D291" s="29"/>
      <c r="E291" s="18" t="str">
        <f>IF(B291="","",IFERROR(INDEX(Items!$C$5:$C$19,MATCH(B291,Items!$A$5:$A$19,0)),""))</f>
        <v/>
      </c>
      <c r="F291" s="18" t="str">
        <f t="shared" si="24"/>
        <v/>
      </c>
      <c r="G291" s="27"/>
      <c r="H291" s="23" t="str">
        <f>IF(OR(A291="",B291="",D291=""),"",IFERROR(INDEX(Items!$D$5:$D$19,MATCH(B291,Items!$A$5:$A$19,0))+SUMIFS(D$4:D290,B$4:B290,B291),""))</f>
        <v/>
      </c>
      <c r="I291" s="23" t="str">
        <f t="shared" si="25"/>
        <v/>
      </c>
      <c r="J291" s="23" t="str">
        <f t="shared" si="26"/>
        <v/>
      </c>
      <c r="K291" s="18" t="str">
        <f t="shared" si="27"/>
        <v/>
      </c>
      <c r="L291" s="16" t="str">
        <f t="shared" ca="1" si="28"/>
        <v/>
      </c>
      <c r="M291" s="25" t="str">
        <f>IF(H291="","",IF(I291&lt;=0,"Shipped",IF(L291&lt;=AGE30,"Fresh",IF(L291&lt;=AGE60,"Watch",IF(L291&lt;=AGE90,"Aging","Old")))))</f>
        <v/>
      </c>
      <c r="N291" s="16" t="str">
        <f t="shared" si="29"/>
        <v/>
      </c>
    </row>
    <row r="292" spans="1:14" x14ac:dyDescent="0.2">
      <c r="A292" s="32"/>
      <c r="B292" s="27"/>
      <c r="C292" s="15" t="str">
        <f>IF(B292="","",IFERROR(INDEX(Items!$B$5:$B$19,MATCH(B292,Items!$A$5:$A$19,0)),"Unknown code"))</f>
        <v/>
      </c>
      <c r="D292" s="29"/>
      <c r="E292" s="18" t="str">
        <f>IF(B292="","",IFERROR(INDEX(Items!$C$5:$C$19,MATCH(B292,Items!$A$5:$A$19,0)),""))</f>
        <v/>
      </c>
      <c r="F292" s="18" t="str">
        <f t="shared" si="24"/>
        <v/>
      </c>
      <c r="G292" s="27"/>
      <c r="H292" s="23" t="str">
        <f>IF(OR(A292="",B292="",D292=""),"",IFERROR(INDEX(Items!$D$5:$D$19,MATCH(B292,Items!$A$5:$A$19,0))+SUMIFS(D$4:D291,B$4:B291,B292),""))</f>
        <v/>
      </c>
      <c r="I292" s="23" t="str">
        <f t="shared" si="25"/>
        <v/>
      </c>
      <c r="J292" s="23" t="str">
        <f t="shared" si="26"/>
        <v/>
      </c>
      <c r="K292" s="18" t="str">
        <f t="shared" si="27"/>
        <v/>
      </c>
      <c r="L292" s="16" t="str">
        <f t="shared" ca="1" si="28"/>
        <v/>
      </c>
      <c r="M292" s="25" t="str">
        <f>IF(H292="","",IF(I292&lt;=0,"Shipped",IF(L292&lt;=AGE30,"Fresh",IF(L292&lt;=AGE60,"Watch",IF(L292&lt;=AGE90,"Aging","Old")))))</f>
        <v/>
      </c>
      <c r="N292" s="16" t="str">
        <f t="shared" si="29"/>
        <v/>
      </c>
    </row>
    <row r="293" spans="1:14" x14ac:dyDescent="0.2">
      <c r="A293" s="32"/>
      <c r="B293" s="27"/>
      <c r="C293" s="15" t="str">
        <f>IF(B293="","",IFERROR(INDEX(Items!$B$5:$B$19,MATCH(B293,Items!$A$5:$A$19,0)),"Unknown code"))</f>
        <v/>
      </c>
      <c r="D293" s="29"/>
      <c r="E293" s="18" t="str">
        <f>IF(B293="","",IFERROR(INDEX(Items!$C$5:$C$19,MATCH(B293,Items!$A$5:$A$19,0)),""))</f>
        <v/>
      </c>
      <c r="F293" s="18" t="str">
        <f t="shared" si="24"/>
        <v/>
      </c>
      <c r="G293" s="27"/>
      <c r="H293" s="23" t="str">
        <f>IF(OR(A293="",B293="",D293=""),"",IFERROR(INDEX(Items!$D$5:$D$19,MATCH(B293,Items!$A$5:$A$19,0))+SUMIFS(D$4:D292,B$4:B292,B293),""))</f>
        <v/>
      </c>
      <c r="I293" s="23" t="str">
        <f t="shared" si="25"/>
        <v/>
      </c>
      <c r="J293" s="23" t="str">
        <f t="shared" si="26"/>
        <v/>
      </c>
      <c r="K293" s="18" t="str">
        <f t="shared" si="27"/>
        <v/>
      </c>
      <c r="L293" s="16" t="str">
        <f t="shared" ca="1" si="28"/>
        <v/>
      </c>
      <c r="M293" s="25" t="str">
        <f>IF(H293="","",IF(I293&lt;=0,"Shipped",IF(L293&lt;=AGE30,"Fresh",IF(L293&lt;=AGE60,"Watch",IF(L293&lt;=AGE90,"Aging","Old")))))</f>
        <v/>
      </c>
      <c r="N293" s="16" t="str">
        <f t="shared" si="29"/>
        <v/>
      </c>
    </row>
    <row r="294" spans="1:14" x14ac:dyDescent="0.2">
      <c r="A294" s="32"/>
      <c r="B294" s="27"/>
      <c r="C294" s="15" t="str">
        <f>IF(B294="","",IFERROR(INDEX(Items!$B$5:$B$19,MATCH(B294,Items!$A$5:$A$19,0)),"Unknown code"))</f>
        <v/>
      </c>
      <c r="D294" s="29"/>
      <c r="E294" s="18" t="str">
        <f>IF(B294="","",IFERROR(INDEX(Items!$C$5:$C$19,MATCH(B294,Items!$A$5:$A$19,0)),""))</f>
        <v/>
      </c>
      <c r="F294" s="18" t="str">
        <f t="shared" si="24"/>
        <v/>
      </c>
      <c r="G294" s="27"/>
      <c r="H294" s="23" t="str">
        <f>IF(OR(A294="",B294="",D294=""),"",IFERROR(INDEX(Items!$D$5:$D$19,MATCH(B294,Items!$A$5:$A$19,0))+SUMIFS(D$4:D293,B$4:B293,B294),""))</f>
        <v/>
      </c>
      <c r="I294" s="23" t="str">
        <f t="shared" si="25"/>
        <v/>
      </c>
      <c r="J294" s="23" t="str">
        <f t="shared" si="26"/>
        <v/>
      </c>
      <c r="K294" s="18" t="str">
        <f t="shared" si="27"/>
        <v/>
      </c>
      <c r="L294" s="16" t="str">
        <f t="shared" ca="1" si="28"/>
        <v/>
      </c>
      <c r="M294" s="25" t="str">
        <f>IF(H294="","",IF(I294&lt;=0,"Shipped",IF(L294&lt;=AGE30,"Fresh",IF(L294&lt;=AGE60,"Watch",IF(L294&lt;=AGE90,"Aging","Old")))))</f>
        <v/>
      </c>
      <c r="N294" s="16" t="str">
        <f t="shared" si="29"/>
        <v/>
      </c>
    </row>
    <row r="295" spans="1:14" x14ac:dyDescent="0.2">
      <c r="A295" s="32"/>
      <c r="B295" s="27"/>
      <c r="C295" s="15" t="str">
        <f>IF(B295="","",IFERROR(INDEX(Items!$B$5:$B$19,MATCH(B295,Items!$A$5:$A$19,0)),"Unknown code"))</f>
        <v/>
      </c>
      <c r="D295" s="29"/>
      <c r="E295" s="18" t="str">
        <f>IF(B295="","",IFERROR(INDEX(Items!$C$5:$C$19,MATCH(B295,Items!$A$5:$A$19,0)),""))</f>
        <v/>
      </c>
      <c r="F295" s="18" t="str">
        <f t="shared" si="24"/>
        <v/>
      </c>
      <c r="G295" s="27"/>
      <c r="H295" s="23" t="str">
        <f>IF(OR(A295="",B295="",D295=""),"",IFERROR(INDEX(Items!$D$5:$D$19,MATCH(B295,Items!$A$5:$A$19,0))+SUMIFS(D$4:D294,B$4:B294,B295),""))</f>
        <v/>
      </c>
      <c r="I295" s="23" t="str">
        <f t="shared" si="25"/>
        <v/>
      </c>
      <c r="J295" s="23" t="str">
        <f t="shared" si="26"/>
        <v/>
      </c>
      <c r="K295" s="18" t="str">
        <f t="shared" si="27"/>
        <v/>
      </c>
      <c r="L295" s="16" t="str">
        <f t="shared" ca="1" si="28"/>
        <v/>
      </c>
      <c r="M295" s="25" t="str">
        <f>IF(H295="","",IF(I295&lt;=0,"Shipped",IF(L295&lt;=AGE30,"Fresh",IF(L295&lt;=AGE60,"Watch",IF(L295&lt;=AGE90,"Aging","Old")))))</f>
        <v/>
      </c>
      <c r="N295" s="16" t="str">
        <f t="shared" si="29"/>
        <v/>
      </c>
    </row>
    <row r="296" spans="1:14" x14ac:dyDescent="0.2">
      <c r="A296" s="32"/>
      <c r="B296" s="27"/>
      <c r="C296" s="15" t="str">
        <f>IF(B296="","",IFERROR(INDEX(Items!$B$5:$B$19,MATCH(B296,Items!$A$5:$A$19,0)),"Unknown code"))</f>
        <v/>
      </c>
      <c r="D296" s="29"/>
      <c r="E296" s="18" t="str">
        <f>IF(B296="","",IFERROR(INDEX(Items!$C$5:$C$19,MATCH(B296,Items!$A$5:$A$19,0)),""))</f>
        <v/>
      </c>
      <c r="F296" s="18" t="str">
        <f t="shared" si="24"/>
        <v/>
      </c>
      <c r="G296" s="27"/>
      <c r="H296" s="23" t="str">
        <f>IF(OR(A296="",B296="",D296=""),"",IFERROR(INDEX(Items!$D$5:$D$19,MATCH(B296,Items!$A$5:$A$19,0))+SUMIFS(D$4:D295,B$4:B295,B296),""))</f>
        <v/>
      </c>
      <c r="I296" s="23" t="str">
        <f t="shared" si="25"/>
        <v/>
      </c>
      <c r="J296" s="23" t="str">
        <f t="shared" si="26"/>
        <v/>
      </c>
      <c r="K296" s="18" t="str">
        <f t="shared" si="27"/>
        <v/>
      </c>
      <c r="L296" s="16" t="str">
        <f t="shared" ca="1" si="28"/>
        <v/>
      </c>
      <c r="M296" s="25" t="str">
        <f>IF(H296="","",IF(I296&lt;=0,"Shipped",IF(L296&lt;=AGE30,"Fresh",IF(L296&lt;=AGE60,"Watch",IF(L296&lt;=AGE90,"Aging","Old")))))</f>
        <v/>
      </c>
      <c r="N296" s="16" t="str">
        <f t="shared" si="29"/>
        <v/>
      </c>
    </row>
    <row r="297" spans="1:14" x14ac:dyDescent="0.2">
      <c r="A297" s="32"/>
      <c r="B297" s="27"/>
      <c r="C297" s="15" t="str">
        <f>IF(B297="","",IFERROR(INDEX(Items!$B$5:$B$19,MATCH(B297,Items!$A$5:$A$19,0)),"Unknown code"))</f>
        <v/>
      </c>
      <c r="D297" s="29"/>
      <c r="E297" s="18" t="str">
        <f>IF(B297="","",IFERROR(INDEX(Items!$C$5:$C$19,MATCH(B297,Items!$A$5:$A$19,0)),""))</f>
        <v/>
      </c>
      <c r="F297" s="18" t="str">
        <f t="shared" si="24"/>
        <v/>
      </c>
      <c r="G297" s="27"/>
      <c r="H297" s="23" t="str">
        <f>IF(OR(A297="",B297="",D297=""),"",IFERROR(INDEX(Items!$D$5:$D$19,MATCH(B297,Items!$A$5:$A$19,0))+SUMIFS(D$4:D296,B$4:B296,B297),""))</f>
        <v/>
      </c>
      <c r="I297" s="23" t="str">
        <f t="shared" si="25"/>
        <v/>
      </c>
      <c r="J297" s="23" t="str">
        <f t="shared" si="26"/>
        <v/>
      </c>
      <c r="K297" s="18" t="str">
        <f t="shared" si="27"/>
        <v/>
      </c>
      <c r="L297" s="16" t="str">
        <f t="shared" ca="1" si="28"/>
        <v/>
      </c>
      <c r="M297" s="25" t="str">
        <f>IF(H297="","",IF(I297&lt;=0,"Shipped",IF(L297&lt;=AGE30,"Fresh",IF(L297&lt;=AGE60,"Watch",IF(L297&lt;=AGE90,"Aging","Old")))))</f>
        <v/>
      </c>
      <c r="N297" s="16" t="str">
        <f t="shared" si="29"/>
        <v/>
      </c>
    </row>
    <row r="298" spans="1:14" x14ac:dyDescent="0.2">
      <c r="A298" s="32"/>
      <c r="B298" s="27"/>
      <c r="C298" s="15" t="str">
        <f>IF(B298="","",IFERROR(INDEX(Items!$B$5:$B$19,MATCH(B298,Items!$A$5:$A$19,0)),"Unknown code"))</f>
        <v/>
      </c>
      <c r="D298" s="29"/>
      <c r="E298" s="18" t="str">
        <f>IF(B298="","",IFERROR(INDEX(Items!$C$5:$C$19,MATCH(B298,Items!$A$5:$A$19,0)),""))</f>
        <v/>
      </c>
      <c r="F298" s="18" t="str">
        <f t="shared" si="24"/>
        <v/>
      </c>
      <c r="G298" s="27"/>
      <c r="H298" s="23" t="str">
        <f>IF(OR(A298="",B298="",D298=""),"",IFERROR(INDEX(Items!$D$5:$D$19,MATCH(B298,Items!$A$5:$A$19,0))+SUMIFS(D$4:D297,B$4:B297,B298),""))</f>
        <v/>
      </c>
      <c r="I298" s="23" t="str">
        <f t="shared" si="25"/>
        <v/>
      </c>
      <c r="J298" s="23" t="str">
        <f t="shared" si="26"/>
        <v/>
      </c>
      <c r="K298" s="18" t="str">
        <f t="shared" si="27"/>
        <v/>
      </c>
      <c r="L298" s="16" t="str">
        <f t="shared" ca="1" si="28"/>
        <v/>
      </c>
      <c r="M298" s="25" t="str">
        <f>IF(H298="","",IF(I298&lt;=0,"Shipped",IF(L298&lt;=AGE30,"Fresh",IF(L298&lt;=AGE60,"Watch",IF(L298&lt;=AGE90,"Aging","Old")))))</f>
        <v/>
      </c>
      <c r="N298" s="16" t="str">
        <f t="shared" si="29"/>
        <v/>
      </c>
    </row>
    <row r="299" spans="1:14" x14ac:dyDescent="0.2">
      <c r="A299" s="32"/>
      <c r="B299" s="27"/>
      <c r="C299" s="15" t="str">
        <f>IF(B299="","",IFERROR(INDEX(Items!$B$5:$B$19,MATCH(B299,Items!$A$5:$A$19,0)),"Unknown code"))</f>
        <v/>
      </c>
      <c r="D299" s="29"/>
      <c r="E299" s="18" t="str">
        <f>IF(B299="","",IFERROR(INDEX(Items!$C$5:$C$19,MATCH(B299,Items!$A$5:$A$19,0)),""))</f>
        <v/>
      </c>
      <c r="F299" s="18" t="str">
        <f t="shared" si="24"/>
        <v/>
      </c>
      <c r="G299" s="27"/>
      <c r="H299" s="23" t="str">
        <f>IF(OR(A299="",B299="",D299=""),"",IFERROR(INDEX(Items!$D$5:$D$19,MATCH(B299,Items!$A$5:$A$19,0))+SUMIFS(D$4:D298,B$4:B298,B299),""))</f>
        <v/>
      </c>
      <c r="I299" s="23" t="str">
        <f t="shared" si="25"/>
        <v/>
      </c>
      <c r="J299" s="23" t="str">
        <f t="shared" si="26"/>
        <v/>
      </c>
      <c r="K299" s="18" t="str">
        <f t="shared" si="27"/>
        <v/>
      </c>
      <c r="L299" s="16" t="str">
        <f t="shared" ca="1" si="28"/>
        <v/>
      </c>
      <c r="M299" s="25" t="str">
        <f>IF(H299="","",IF(I299&lt;=0,"Shipped",IF(L299&lt;=AGE30,"Fresh",IF(L299&lt;=AGE60,"Watch",IF(L299&lt;=AGE90,"Aging","Old")))))</f>
        <v/>
      </c>
      <c r="N299" s="16" t="str">
        <f t="shared" si="29"/>
        <v/>
      </c>
    </row>
    <row r="300" spans="1:14" x14ac:dyDescent="0.2">
      <c r="A300" s="32"/>
      <c r="B300" s="27"/>
      <c r="C300" s="15" t="str">
        <f>IF(B300="","",IFERROR(INDEX(Items!$B$5:$B$19,MATCH(B300,Items!$A$5:$A$19,0)),"Unknown code"))</f>
        <v/>
      </c>
      <c r="D300" s="29"/>
      <c r="E300" s="18" t="str">
        <f>IF(B300="","",IFERROR(INDEX(Items!$C$5:$C$19,MATCH(B300,Items!$A$5:$A$19,0)),""))</f>
        <v/>
      </c>
      <c r="F300" s="18" t="str">
        <f t="shared" si="24"/>
        <v/>
      </c>
      <c r="G300" s="27"/>
      <c r="H300" s="23" t="str">
        <f>IF(OR(A300="",B300="",D300=""),"",IFERROR(INDEX(Items!$D$5:$D$19,MATCH(B300,Items!$A$5:$A$19,0))+SUMIFS(D$4:D299,B$4:B299,B300),""))</f>
        <v/>
      </c>
      <c r="I300" s="23" t="str">
        <f t="shared" si="25"/>
        <v/>
      </c>
      <c r="J300" s="23" t="str">
        <f t="shared" si="26"/>
        <v/>
      </c>
      <c r="K300" s="18" t="str">
        <f t="shared" si="27"/>
        <v/>
      </c>
      <c r="L300" s="16" t="str">
        <f t="shared" ca="1" si="28"/>
        <v/>
      </c>
      <c r="M300" s="25" t="str">
        <f>IF(H300="","",IF(I300&lt;=0,"Shipped",IF(L300&lt;=AGE30,"Fresh",IF(L300&lt;=AGE60,"Watch",IF(L300&lt;=AGE90,"Aging","Old")))))</f>
        <v/>
      </c>
      <c r="N300" s="16" t="str">
        <f t="shared" si="29"/>
        <v/>
      </c>
    </row>
    <row r="301" spans="1:14" x14ac:dyDescent="0.2">
      <c r="A301" s="32"/>
      <c r="B301" s="27"/>
      <c r="C301" s="15" t="str">
        <f>IF(B301="","",IFERROR(INDEX(Items!$B$5:$B$19,MATCH(B301,Items!$A$5:$A$19,0)),"Unknown code"))</f>
        <v/>
      </c>
      <c r="D301" s="29"/>
      <c r="E301" s="18" t="str">
        <f>IF(B301="","",IFERROR(INDEX(Items!$C$5:$C$19,MATCH(B301,Items!$A$5:$A$19,0)),""))</f>
        <v/>
      </c>
      <c r="F301" s="18" t="str">
        <f t="shared" si="24"/>
        <v/>
      </c>
      <c r="G301" s="27"/>
      <c r="H301" s="23" t="str">
        <f>IF(OR(A301="",B301="",D301=""),"",IFERROR(INDEX(Items!$D$5:$D$19,MATCH(B301,Items!$A$5:$A$19,0))+SUMIFS(D$4:D300,B$4:B300,B301),""))</f>
        <v/>
      </c>
      <c r="I301" s="23" t="str">
        <f t="shared" si="25"/>
        <v/>
      </c>
      <c r="J301" s="23" t="str">
        <f t="shared" si="26"/>
        <v/>
      </c>
      <c r="K301" s="18" t="str">
        <f t="shared" si="27"/>
        <v/>
      </c>
      <c r="L301" s="16" t="str">
        <f t="shared" ca="1" si="28"/>
        <v/>
      </c>
      <c r="M301" s="25" t="str">
        <f>IF(H301="","",IF(I301&lt;=0,"Shipped",IF(L301&lt;=AGE30,"Fresh",IF(L301&lt;=AGE60,"Watch",IF(L301&lt;=AGE90,"Aging","Old")))))</f>
        <v/>
      </c>
      <c r="N301" s="16" t="str">
        <f t="shared" si="29"/>
        <v/>
      </c>
    </row>
    <row r="302" spans="1:14" x14ac:dyDescent="0.2">
      <c r="A302" s="32"/>
      <c r="B302" s="27"/>
      <c r="C302" s="15" t="str">
        <f>IF(B302="","",IFERROR(INDEX(Items!$B$5:$B$19,MATCH(B302,Items!$A$5:$A$19,0)),"Unknown code"))</f>
        <v/>
      </c>
      <c r="D302" s="29"/>
      <c r="E302" s="18" t="str">
        <f>IF(B302="","",IFERROR(INDEX(Items!$C$5:$C$19,MATCH(B302,Items!$A$5:$A$19,0)),""))</f>
        <v/>
      </c>
      <c r="F302" s="18" t="str">
        <f t="shared" si="24"/>
        <v/>
      </c>
      <c r="G302" s="27"/>
      <c r="H302" s="23" t="str">
        <f>IF(OR(A302="",B302="",D302=""),"",IFERROR(INDEX(Items!$D$5:$D$19,MATCH(B302,Items!$A$5:$A$19,0))+SUMIFS(D$4:D301,B$4:B301,B302),""))</f>
        <v/>
      </c>
      <c r="I302" s="23" t="str">
        <f t="shared" si="25"/>
        <v/>
      </c>
      <c r="J302" s="23" t="str">
        <f t="shared" si="26"/>
        <v/>
      </c>
      <c r="K302" s="18" t="str">
        <f t="shared" si="27"/>
        <v/>
      </c>
      <c r="L302" s="16" t="str">
        <f t="shared" ca="1" si="28"/>
        <v/>
      </c>
      <c r="M302" s="25" t="str">
        <f>IF(H302="","",IF(I302&lt;=0,"Shipped",IF(L302&lt;=AGE30,"Fresh",IF(L302&lt;=AGE60,"Watch",IF(L302&lt;=AGE90,"Aging","Old")))))</f>
        <v/>
      </c>
      <c r="N302" s="16" t="str">
        <f t="shared" si="29"/>
        <v/>
      </c>
    </row>
    <row r="303" spans="1:14" x14ac:dyDescent="0.2">
      <c r="A303" s="32"/>
      <c r="B303" s="27"/>
      <c r="C303" s="15" t="str">
        <f>IF(B303="","",IFERROR(INDEX(Items!$B$5:$B$19,MATCH(B303,Items!$A$5:$A$19,0)),"Unknown code"))</f>
        <v/>
      </c>
      <c r="D303" s="29"/>
      <c r="E303" s="18" t="str">
        <f>IF(B303="","",IFERROR(INDEX(Items!$C$5:$C$19,MATCH(B303,Items!$A$5:$A$19,0)),""))</f>
        <v/>
      </c>
      <c r="F303" s="18" t="str">
        <f t="shared" si="24"/>
        <v/>
      </c>
      <c r="G303" s="27"/>
      <c r="H303" s="23" t="str">
        <f>IF(OR(A303="",B303="",D303=""),"",IFERROR(INDEX(Items!$D$5:$D$19,MATCH(B303,Items!$A$5:$A$19,0))+SUMIFS(D$4:D302,B$4:B302,B303),""))</f>
        <v/>
      </c>
      <c r="I303" s="23" t="str">
        <f t="shared" si="25"/>
        <v/>
      </c>
      <c r="J303" s="23" t="str">
        <f t="shared" si="26"/>
        <v/>
      </c>
      <c r="K303" s="18" t="str">
        <f t="shared" si="27"/>
        <v/>
      </c>
      <c r="L303" s="16" t="str">
        <f t="shared" ca="1" si="28"/>
        <v/>
      </c>
      <c r="M303" s="25" t="str">
        <f>IF(H303="","",IF(I303&lt;=0,"Shipped",IF(L303&lt;=AGE30,"Fresh",IF(L303&lt;=AGE60,"Watch",IF(L303&lt;=AGE90,"Aging","Old")))))</f>
        <v/>
      </c>
      <c r="N303" s="16" t="str">
        <f t="shared" si="29"/>
        <v/>
      </c>
    </row>
    <row r="304" spans="1:14" x14ac:dyDescent="0.2">
      <c r="A304" s="32"/>
      <c r="B304" s="27"/>
      <c r="C304" s="15" t="str">
        <f>IF(B304="","",IFERROR(INDEX(Items!$B$5:$B$19,MATCH(B304,Items!$A$5:$A$19,0)),"Unknown code"))</f>
        <v/>
      </c>
      <c r="D304" s="29"/>
      <c r="E304" s="18" t="str">
        <f>IF(B304="","",IFERROR(INDEX(Items!$C$5:$C$19,MATCH(B304,Items!$A$5:$A$19,0)),""))</f>
        <v/>
      </c>
      <c r="F304" s="18" t="str">
        <f t="shared" si="24"/>
        <v/>
      </c>
      <c r="G304" s="27"/>
      <c r="H304" s="23" t="str">
        <f>IF(OR(A304="",B304="",D304=""),"",IFERROR(INDEX(Items!$D$5:$D$19,MATCH(B304,Items!$A$5:$A$19,0))+SUMIFS(D$4:D303,B$4:B303,B304),""))</f>
        <v/>
      </c>
      <c r="I304" s="23" t="str">
        <f t="shared" si="25"/>
        <v/>
      </c>
      <c r="J304" s="23" t="str">
        <f t="shared" si="26"/>
        <v/>
      </c>
      <c r="K304" s="18" t="str">
        <f t="shared" si="27"/>
        <v/>
      </c>
      <c r="L304" s="16" t="str">
        <f t="shared" ca="1" si="28"/>
        <v/>
      </c>
      <c r="M304" s="25" t="str">
        <f>IF(H304="","",IF(I304&lt;=0,"Shipped",IF(L304&lt;=AGE30,"Fresh",IF(L304&lt;=AGE60,"Watch",IF(L304&lt;=AGE90,"Aging","Old")))))</f>
        <v/>
      </c>
      <c r="N304" s="16" t="str">
        <f t="shared" si="29"/>
        <v/>
      </c>
    </row>
    <row r="305" spans="1:14" x14ac:dyDescent="0.2">
      <c r="A305" s="32"/>
      <c r="B305" s="27"/>
      <c r="C305" s="15" t="str">
        <f>IF(B305="","",IFERROR(INDEX(Items!$B$5:$B$19,MATCH(B305,Items!$A$5:$A$19,0)),"Unknown code"))</f>
        <v/>
      </c>
      <c r="D305" s="29"/>
      <c r="E305" s="18" t="str">
        <f>IF(B305="","",IFERROR(INDEX(Items!$C$5:$C$19,MATCH(B305,Items!$A$5:$A$19,0)),""))</f>
        <v/>
      </c>
      <c r="F305" s="18" t="str">
        <f t="shared" si="24"/>
        <v/>
      </c>
      <c r="G305" s="27"/>
      <c r="H305" s="23" t="str">
        <f>IF(OR(A305="",B305="",D305=""),"",IFERROR(INDEX(Items!$D$5:$D$19,MATCH(B305,Items!$A$5:$A$19,0))+SUMIFS(D$4:D304,B$4:B304,B305),""))</f>
        <v/>
      </c>
      <c r="I305" s="23" t="str">
        <f t="shared" si="25"/>
        <v/>
      </c>
      <c r="J305" s="23" t="str">
        <f t="shared" si="26"/>
        <v/>
      </c>
      <c r="K305" s="18" t="str">
        <f t="shared" si="27"/>
        <v/>
      </c>
      <c r="L305" s="16" t="str">
        <f t="shared" ca="1" si="28"/>
        <v/>
      </c>
      <c r="M305" s="25" t="str">
        <f>IF(H305="","",IF(I305&lt;=0,"Shipped",IF(L305&lt;=AGE30,"Fresh",IF(L305&lt;=AGE60,"Watch",IF(L305&lt;=AGE90,"Aging","Old")))))</f>
        <v/>
      </c>
      <c r="N305" s="16" t="str">
        <f t="shared" si="29"/>
        <v/>
      </c>
    </row>
    <row r="306" spans="1:14" x14ac:dyDescent="0.2">
      <c r="A306" s="32"/>
      <c r="B306" s="27"/>
      <c r="C306" s="15" t="str">
        <f>IF(B306="","",IFERROR(INDEX(Items!$B$5:$B$19,MATCH(B306,Items!$A$5:$A$19,0)),"Unknown code"))</f>
        <v/>
      </c>
      <c r="D306" s="29"/>
      <c r="E306" s="18" t="str">
        <f>IF(B306="","",IFERROR(INDEX(Items!$C$5:$C$19,MATCH(B306,Items!$A$5:$A$19,0)),""))</f>
        <v/>
      </c>
      <c r="F306" s="18" t="str">
        <f t="shared" si="24"/>
        <v/>
      </c>
      <c r="G306" s="27"/>
      <c r="H306" s="23" t="str">
        <f>IF(OR(A306="",B306="",D306=""),"",IFERROR(INDEX(Items!$D$5:$D$19,MATCH(B306,Items!$A$5:$A$19,0))+SUMIFS(D$4:D305,B$4:B305,B306),""))</f>
        <v/>
      </c>
      <c r="I306" s="23" t="str">
        <f t="shared" si="25"/>
        <v/>
      </c>
      <c r="J306" s="23" t="str">
        <f t="shared" si="26"/>
        <v/>
      </c>
      <c r="K306" s="18" t="str">
        <f t="shared" si="27"/>
        <v/>
      </c>
      <c r="L306" s="16" t="str">
        <f t="shared" ca="1" si="28"/>
        <v/>
      </c>
      <c r="M306" s="25" t="str">
        <f>IF(H306="","",IF(I306&lt;=0,"Shipped",IF(L306&lt;=AGE30,"Fresh",IF(L306&lt;=AGE60,"Watch",IF(L306&lt;=AGE90,"Aging","Old")))))</f>
        <v/>
      </c>
      <c r="N306" s="16" t="str">
        <f t="shared" si="29"/>
        <v/>
      </c>
    </row>
    <row r="307" spans="1:14" x14ac:dyDescent="0.2">
      <c r="A307" s="32"/>
      <c r="B307" s="27"/>
      <c r="C307" s="15" t="str">
        <f>IF(B307="","",IFERROR(INDEX(Items!$B$5:$B$19,MATCH(B307,Items!$A$5:$A$19,0)),"Unknown code"))</f>
        <v/>
      </c>
      <c r="D307" s="29"/>
      <c r="E307" s="18" t="str">
        <f>IF(B307="","",IFERROR(INDEX(Items!$C$5:$C$19,MATCH(B307,Items!$A$5:$A$19,0)),""))</f>
        <v/>
      </c>
      <c r="F307" s="18" t="str">
        <f t="shared" si="24"/>
        <v/>
      </c>
      <c r="G307" s="27"/>
      <c r="H307" s="23" t="str">
        <f>IF(OR(A307="",B307="",D307=""),"",IFERROR(INDEX(Items!$D$5:$D$19,MATCH(B307,Items!$A$5:$A$19,0))+SUMIFS(D$4:D306,B$4:B306,B307),""))</f>
        <v/>
      </c>
      <c r="I307" s="23" t="str">
        <f t="shared" si="25"/>
        <v/>
      </c>
      <c r="J307" s="23" t="str">
        <f t="shared" si="26"/>
        <v/>
      </c>
      <c r="K307" s="18" t="str">
        <f t="shared" si="27"/>
        <v/>
      </c>
      <c r="L307" s="16" t="str">
        <f t="shared" ca="1" si="28"/>
        <v/>
      </c>
      <c r="M307" s="25" t="str">
        <f>IF(H307="","",IF(I307&lt;=0,"Shipped",IF(L307&lt;=AGE30,"Fresh",IF(L307&lt;=AGE60,"Watch",IF(L307&lt;=AGE90,"Aging","Old")))))</f>
        <v/>
      </c>
      <c r="N307" s="16" t="str">
        <f t="shared" si="29"/>
        <v/>
      </c>
    </row>
    <row r="308" spans="1:14" x14ac:dyDescent="0.2">
      <c r="A308" s="32"/>
      <c r="B308" s="27"/>
      <c r="C308" s="15" t="str">
        <f>IF(B308="","",IFERROR(INDEX(Items!$B$5:$B$19,MATCH(B308,Items!$A$5:$A$19,0)),"Unknown code"))</f>
        <v/>
      </c>
      <c r="D308" s="29"/>
      <c r="E308" s="18" t="str">
        <f>IF(B308="","",IFERROR(INDEX(Items!$C$5:$C$19,MATCH(B308,Items!$A$5:$A$19,0)),""))</f>
        <v/>
      </c>
      <c r="F308" s="18" t="str">
        <f t="shared" si="24"/>
        <v/>
      </c>
      <c r="G308" s="27"/>
      <c r="H308" s="23" t="str">
        <f>IF(OR(A308="",B308="",D308=""),"",IFERROR(INDEX(Items!$D$5:$D$19,MATCH(B308,Items!$A$5:$A$19,0))+SUMIFS(D$4:D307,B$4:B307,B308),""))</f>
        <v/>
      </c>
      <c r="I308" s="23" t="str">
        <f t="shared" si="25"/>
        <v/>
      </c>
      <c r="J308" s="23" t="str">
        <f t="shared" si="26"/>
        <v/>
      </c>
      <c r="K308" s="18" t="str">
        <f t="shared" si="27"/>
        <v/>
      </c>
      <c r="L308" s="16" t="str">
        <f t="shared" ca="1" si="28"/>
        <v/>
      </c>
      <c r="M308" s="25" t="str">
        <f>IF(H308="","",IF(I308&lt;=0,"Shipped",IF(L308&lt;=AGE30,"Fresh",IF(L308&lt;=AGE60,"Watch",IF(L308&lt;=AGE90,"Aging","Old")))))</f>
        <v/>
      </c>
      <c r="N308" s="16" t="str">
        <f t="shared" si="29"/>
        <v/>
      </c>
    </row>
    <row r="309" spans="1:14" x14ac:dyDescent="0.2">
      <c r="A309" s="32"/>
      <c r="B309" s="27"/>
      <c r="C309" s="15" t="str">
        <f>IF(B309="","",IFERROR(INDEX(Items!$B$5:$B$19,MATCH(B309,Items!$A$5:$A$19,0)),"Unknown code"))</f>
        <v/>
      </c>
      <c r="D309" s="29"/>
      <c r="E309" s="18" t="str">
        <f>IF(B309="","",IFERROR(INDEX(Items!$C$5:$C$19,MATCH(B309,Items!$A$5:$A$19,0)),""))</f>
        <v/>
      </c>
      <c r="F309" s="18" t="str">
        <f t="shared" si="24"/>
        <v/>
      </c>
      <c r="G309" s="27"/>
      <c r="H309" s="23" t="str">
        <f>IF(OR(A309="",B309="",D309=""),"",IFERROR(INDEX(Items!$D$5:$D$19,MATCH(B309,Items!$A$5:$A$19,0))+SUMIFS(D$4:D308,B$4:B308,B309),""))</f>
        <v/>
      </c>
      <c r="I309" s="23" t="str">
        <f t="shared" si="25"/>
        <v/>
      </c>
      <c r="J309" s="23" t="str">
        <f t="shared" si="26"/>
        <v/>
      </c>
      <c r="K309" s="18" t="str">
        <f t="shared" si="27"/>
        <v/>
      </c>
      <c r="L309" s="16" t="str">
        <f t="shared" ca="1" si="28"/>
        <v/>
      </c>
      <c r="M309" s="25" t="str">
        <f>IF(H309="","",IF(I309&lt;=0,"Shipped",IF(L309&lt;=AGE30,"Fresh",IF(L309&lt;=AGE60,"Watch",IF(L309&lt;=AGE90,"Aging","Old")))))</f>
        <v/>
      </c>
      <c r="N309" s="16" t="str">
        <f t="shared" si="29"/>
        <v/>
      </c>
    </row>
    <row r="310" spans="1:14" x14ac:dyDescent="0.2">
      <c r="A310" s="32"/>
      <c r="B310" s="27"/>
      <c r="C310" s="15" t="str">
        <f>IF(B310="","",IFERROR(INDEX(Items!$B$5:$B$19,MATCH(B310,Items!$A$5:$A$19,0)),"Unknown code"))</f>
        <v/>
      </c>
      <c r="D310" s="29"/>
      <c r="E310" s="18" t="str">
        <f>IF(B310="","",IFERROR(INDEX(Items!$C$5:$C$19,MATCH(B310,Items!$A$5:$A$19,0)),""))</f>
        <v/>
      </c>
      <c r="F310" s="18" t="str">
        <f t="shared" si="24"/>
        <v/>
      </c>
      <c r="G310" s="27"/>
      <c r="H310" s="23" t="str">
        <f>IF(OR(A310="",B310="",D310=""),"",IFERROR(INDEX(Items!$D$5:$D$19,MATCH(B310,Items!$A$5:$A$19,0))+SUMIFS(D$4:D309,B$4:B309,B310),""))</f>
        <v/>
      </c>
      <c r="I310" s="23" t="str">
        <f t="shared" si="25"/>
        <v/>
      </c>
      <c r="J310" s="23" t="str">
        <f t="shared" si="26"/>
        <v/>
      </c>
      <c r="K310" s="18" t="str">
        <f t="shared" si="27"/>
        <v/>
      </c>
      <c r="L310" s="16" t="str">
        <f t="shared" ca="1" si="28"/>
        <v/>
      </c>
      <c r="M310" s="25" t="str">
        <f>IF(H310="","",IF(I310&lt;=0,"Shipped",IF(L310&lt;=AGE30,"Fresh",IF(L310&lt;=AGE60,"Watch",IF(L310&lt;=AGE90,"Aging","Old")))))</f>
        <v/>
      </c>
      <c r="N310" s="16" t="str">
        <f t="shared" si="29"/>
        <v/>
      </c>
    </row>
    <row r="311" spans="1:14" x14ac:dyDescent="0.2">
      <c r="A311" s="32"/>
      <c r="B311" s="27"/>
      <c r="C311" s="15" t="str">
        <f>IF(B311="","",IFERROR(INDEX(Items!$B$5:$B$19,MATCH(B311,Items!$A$5:$A$19,0)),"Unknown code"))</f>
        <v/>
      </c>
      <c r="D311" s="29"/>
      <c r="E311" s="18" t="str">
        <f>IF(B311="","",IFERROR(INDEX(Items!$C$5:$C$19,MATCH(B311,Items!$A$5:$A$19,0)),""))</f>
        <v/>
      </c>
      <c r="F311" s="18" t="str">
        <f t="shared" si="24"/>
        <v/>
      </c>
      <c r="G311" s="27"/>
      <c r="H311" s="23" t="str">
        <f>IF(OR(A311="",B311="",D311=""),"",IFERROR(INDEX(Items!$D$5:$D$19,MATCH(B311,Items!$A$5:$A$19,0))+SUMIFS(D$4:D310,B$4:B310,B311),""))</f>
        <v/>
      </c>
      <c r="I311" s="23" t="str">
        <f t="shared" si="25"/>
        <v/>
      </c>
      <c r="J311" s="23" t="str">
        <f t="shared" si="26"/>
        <v/>
      </c>
      <c r="K311" s="18" t="str">
        <f t="shared" si="27"/>
        <v/>
      </c>
      <c r="L311" s="16" t="str">
        <f t="shared" ca="1" si="28"/>
        <v/>
      </c>
      <c r="M311" s="25" t="str">
        <f>IF(H311="","",IF(I311&lt;=0,"Shipped",IF(L311&lt;=AGE30,"Fresh",IF(L311&lt;=AGE60,"Watch",IF(L311&lt;=AGE90,"Aging","Old")))))</f>
        <v/>
      </c>
      <c r="N311" s="16" t="str">
        <f t="shared" si="29"/>
        <v/>
      </c>
    </row>
    <row r="312" spans="1:14" x14ac:dyDescent="0.2">
      <c r="A312" s="32"/>
      <c r="B312" s="27"/>
      <c r="C312" s="15" t="str">
        <f>IF(B312="","",IFERROR(INDEX(Items!$B$5:$B$19,MATCH(B312,Items!$A$5:$A$19,0)),"Unknown code"))</f>
        <v/>
      </c>
      <c r="D312" s="29"/>
      <c r="E312" s="18" t="str">
        <f>IF(B312="","",IFERROR(INDEX(Items!$C$5:$C$19,MATCH(B312,Items!$A$5:$A$19,0)),""))</f>
        <v/>
      </c>
      <c r="F312" s="18" t="str">
        <f t="shared" si="24"/>
        <v/>
      </c>
      <c r="G312" s="27"/>
      <c r="H312" s="23" t="str">
        <f>IF(OR(A312="",B312="",D312=""),"",IFERROR(INDEX(Items!$D$5:$D$19,MATCH(B312,Items!$A$5:$A$19,0))+SUMIFS(D$4:D311,B$4:B311,B312),""))</f>
        <v/>
      </c>
      <c r="I312" s="23" t="str">
        <f t="shared" si="25"/>
        <v/>
      </c>
      <c r="J312" s="23" t="str">
        <f t="shared" si="26"/>
        <v/>
      </c>
      <c r="K312" s="18" t="str">
        <f t="shared" si="27"/>
        <v/>
      </c>
      <c r="L312" s="16" t="str">
        <f t="shared" ca="1" si="28"/>
        <v/>
      </c>
      <c r="M312" s="25" t="str">
        <f>IF(H312="","",IF(I312&lt;=0,"Shipped",IF(L312&lt;=AGE30,"Fresh",IF(L312&lt;=AGE60,"Watch",IF(L312&lt;=AGE90,"Aging","Old")))))</f>
        <v/>
      </c>
      <c r="N312" s="16" t="str">
        <f t="shared" si="29"/>
        <v/>
      </c>
    </row>
    <row r="313" spans="1:14" x14ac:dyDescent="0.2">
      <c r="A313" s="32"/>
      <c r="B313" s="27"/>
      <c r="C313" s="15" t="str">
        <f>IF(B313="","",IFERROR(INDEX(Items!$B$5:$B$19,MATCH(B313,Items!$A$5:$A$19,0)),"Unknown code"))</f>
        <v/>
      </c>
      <c r="D313" s="29"/>
      <c r="E313" s="18" t="str">
        <f>IF(B313="","",IFERROR(INDEX(Items!$C$5:$C$19,MATCH(B313,Items!$A$5:$A$19,0)),""))</f>
        <v/>
      </c>
      <c r="F313" s="18" t="str">
        <f t="shared" si="24"/>
        <v/>
      </c>
      <c r="G313" s="27"/>
      <c r="H313" s="23" t="str">
        <f>IF(OR(A313="",B313="",D313=""),"",IFERROR(INDEX(Items!$D$5:$D$19,MATCH(B313,Items!$A$5:$A$19,0))+SUMIFS(D$4:D312,B$4:B312,B313),""))</f>
        <v/>
      </c>
      <c r="I313" s="23" t="str">
        <f t="shared" si="25"/>
        <v/>
      </c>
      <c r="J313" s="23" t="str">
        <f t="shared" si="26"/>
        <v/>
      </c>
      <c r="K313" s="18" t="str">
        <f t="shared" si="27"/>
        <v/>
      </c>
      <c r="L313" s="16" t="str">
        <f t="shared" ca="1" si="28"/>
        <v/>
      </c>
      <c r="M313" s="25" t="str">
        <f>IF(H313="","",IF(I313&lt;=0,"Shipped",IF(L313&lt;=AGE30,"Fresh",IF(L313&lt;=AGE60,"Watch",IF(L313&lt;=AGE90,"Aging","Old")))))</f>
        <v/>
      </c>
      <c r="N313" s="16" t="str">
        <f t="shared" si="29"/>
        <v/>
      </c>
    </row>
    <row r="314" spans="1:14" x14ac:dyDescent="0.2">
      <c r="A314" s="32"/>
      <c r="B314" s="27"/>
      <c r="C314" s="15" t="str">
        <f>IF(B314="","",IFERROR(INDEX(Items!$B$5:$B$19,MATCH(B314,Items!$A$5:$A$19,0)),"Unknown code"))</f>
        <v/>
      </c>
      <c r="D314" s="29"/>
      <c r="E314" s="18" t="str">
        <f>IF(B314="","",IFERROR(INDEX(Items!$C$5:$C$19,MATCH(B314,Items!$A$5:$A$19,0)),""))</f>
        <v/>
      </c>
      <c r="F314" s="18" t="str">
        <f t="shared" si="24"/>
        <v/>
      </c>
      <c r="G314" s="27"/>
      <c r="H314" s="23" t="str">
        <f>IF(OR(A314="",B314="",D314=""),"",IFERROR(INDEX(Items!$D$5:$D$19,MATCH(B314,Items!$A$5:$A$19,0))+SUMIFS(D$4:D313,B$4:B313,B314),""))</f>
        <v/>
      </c>
      <c r="I314" s="23" t="str">
        <f t="shared" si="25"/>
        <v/>
      </c>
      <c r="J314" s="23" t="str">
        <f t="shared" si="26"/>
        <v/>
      </c>
      <c r="K314" s="18" t="str">
        <f t="shared" si="27"/>
        <v/>
      </c>
      <c r="L314" s="16" t="str">
        <f t="shared" ca="1" si="28"/>
        <v/>
      </c>
      <c r="M314" s="25" t="str">
        <f>IF(H314="","",IF(I314&lt;=0,"Shipped",IF(L314&lt;=AGE30,"Fresh",IF(L314&lt;=AGE60,"Watch",IF(L314&lt;=AGE90,"Aging","Old")))))</f>
        <v/>
      </c>
      <c r="N314" s="16" t="str">
        <f t="shared" si="29"/>
        <v/>
      </c>
    </row>
    <row r="315" spans="1:14" x14ac:dyDescent="0.2">
      <c r="A315" s="32"/>
      <c r="B315" s="27"/>
      <c r="C315" s="15" t="str">
        <f>IF(B315="","",IFERROR(INDEX(Items!$B$5:$B$19,MATCH(B315,Items!$A$5:$A$19,0)),"Unknown code"))</f>
        <v/>
      </c>
      <c r="D315" s="29"/>
      <c r="E315" s="18" t="str">
        <f>IF(B315="","",IFERROR(INDEX(Items!$C$5:$C$19,MATCH(B315,Items!$A$5:$A$19,0)),""))</f>
        <v/>
      </c>
      <c r="F315" s="18" t="str">
        <f t="shared" si="24"/>
        <v/>
      </c>
      <c r="G315" s="27"/>
      <c r="H315" s="23" t="str">
        <f>IF(OR(A315="",B315="",D315=""),"",IFERROR(INDEX(Items!$D$5:$D$19,MATCH(B315,Items!$A$5:$A$19,0))+SUMIFS(D$4:D314,B$4:B314,B315),""))</f>
        <v/>
      </c>
      <c r="I315" s="23" t="str">
        <f t="shared" si="25"/>
        <v/>
      </c>
      <c r="J315" s="23" t="str">
        <f t="shared" si="26"/>
        <v/>
      </c>
      <c r="K315" s="18" t="str">
        <f t="shared" si="27"/>
        <v/>
      </c>
      <c r="L315" s="16" t="str">
        <f t="shared" ca="1" si="28"/>
        <v/>
      </c>
      <c r="M315" s="25" t="str">
        <f>IF(H315="","",IF(I315&lt;=0,"Shipped",IF(L315&lt;=AGE30,"Fresh",IF(L315&lt;=AGE60,"Watch",IF(L315&lt;=AGE90,"Aging","Old")))))</f>
        <v/>
      </c>
      <c r="N315" s="16" t="str">
        <f t="shared" si="29"/>
        <v/>
      </c>
    </row>
    <row r="316" spans="1:14" x14ac:dyDescent="0.2">
      <c r="A316" s="32"/>
      <c r="B316" s="27"/>
      <c r="C316" s="15" t="str">
        <f>IF(B316="","",IFERROR(INDEX(Items!$B$5:$B$19,MATCH(B316,Items!$A$5:$A$19,0)),"Unknown code"))</f>
        <v/>
      </c>
      <c r="D316" s="29"/>
      <c r="E316" s="18" t="str">
        <f>IF(B316="","",IFERROR(INDEX(Items!$C$5:$C$19,MATCH(B316,Items!$A$5:$A$19,0)),""))</f>
        <v/>
      </c>
      <c r="F316" s="18" t="str">
        <f t="shared" si="24"/>
        <v/>
      </c>
      <c r="G316" s="27"/>
      <c r="H316" s="23" t="str">
        <f>IF(OR(A316="",B316="",D316=""),"",IFERROR(INDEX(Items!$D$5:$D$19,MATCH(B316,Items!$A$5:$A$19,0))+SUMIFS(D$4:D315,B$4:B315,B316),""))</f>
        <v/>
      </c>
      <c r="I316" s="23" t="str">
        <f t="shared" si="25"/>
        <v/>
      </c>
      <c r="J316" s="23" t="str">
        <f t="shared" si="26"/>
        <v/>
      </c>
      <c r="K316" s="18" t="str">
        <f t="shared" si="27"/>
        <v/>
      </c>
      <c r="L316" s="16" t="str">
        <f t="shared" ca="1" si="28"/>
        <v/>
      </c>
      <c r="M316" s="25" t="str">
        <f>IF(H316="","",IF(I316&lt;=0,"Shipped",IF(L316&lt;=AGE30,"Fresh",IF(L316&lt;=AGE60,"Watch",IF(L316&lt;=AGE90,"Aging","Old")))))</f>
        <v/>
      </c>
      <c r="N316" s="16" t="str">
        <f t="shared" si="29"/>
        <v/>
      </c>
    </row>
    <row r="317" spans="1:14" x14ac:dyDescent="0.2">
      <c r="A317" s="32"/>
      <c r="B317" s="27"/>
      <c r="C317" s="15" t="str">
        <f>IF(B317="","",IFERROR(INDEX(Items!$B$5:$B$19,MATCH(B317,Items!$A$5:$A$19,0)),"Unknown code"))</f>
        <v/>
      </c>
      <c r="D317" s="29"/>
      <c r="E317" s="18" t="str">
        <f>IF(B317="","",IFERROR(INDEX(Items!$C$5:$C$19,MATCH(B317,Items!$A$5:$A$19,0)),""))</f>
        <v/>
      </c>
      <c r="F317" s="18" t="str">
        <f t="shared" si="24"/>
        <v/>
      </c>
      <c r="G317" s="27"/>
      <c r="H317" s="23" t="str">
        <f>IF(OR(A317="",B317="",D317=""),"",IFERROR(INDEX(Items!$D$5:$D$19,MATCH(B317,Items!$A$5:$A$19,0))+SUMIFS(D$4:D316,B$4:B316,B317),""))</f>
        <v/>
      </c>
      <c r="I317" s="23" t="str">
        <f t="shared" si="25"/>
        <v/>
      </c>
      <c r="J317" s="23" t="str">
        <f t="shared" si="26"/>
        <v/>
      </c>
      <c r="K317" s="18" t="str">
        <f t="shared" si="27"/>
        <v/>
      </c>
      <c r="L317" s="16" t="str">
        <f t="shared" ca="1" si="28"/>
        <v/>
      </c>
      <c r="M317" s="25" t="str">
        <f>IF(H317="","",IF(I317&lt;=0,"Shipped",IF(L317&lt;=AGE30,"Fresh",IF(L317&lt;=AGE60,"Watch",IF(L317&lt;=AGE90,"Aging","Old")))))</f>
        <v/>
      </c>
      <c r="N317" s="16" t="str">
        <f t="shared" si="29"/>
        <v/>
      </c>
    </row>
    <row r="318" spans="1:14" x14ac:dyDescent="0.2">
      <c r="A318" s="32"/>
      <c r="B318" s="27"/>
      <c r="C318" s="15" t="str">
        <f>IF(B318="","",IFERROR(INDEX(Items!$B$5:$B$19,MATCH(B318,Items!$A$5:$A$19,0)),"Unknown code"))</f>
        <v/>
      </c>
      <c r="D318" s="29"/>
      <c r="E318" s="18" t="str">
        <f>IF(B318="","",IFERROR(INDEX(Items!$C$5:$C$19,MATCH(B318,Items!$A$5:$A$19,0)),""))</f>
        <v/>
      </c>
      <c r="F318" s="18" t="str">
        <f t="shared" si="24"/>
        <v/>
      </c>
      <c r="G318" s="27"/>
      <c r="H318" s="23" t="str">
        <f>IF(OR(A318="",B318="",D318=""),"",IFERROR(INDEX(Items!$D$5:$D$19,MATCH(B318,Items!$A$5:$A$19,0))+SUMIFS(D$4:D317,B$4:B317,B318),""))</f>
        <v/>
      </c>
      <c r="I318" s="23" t="str">
        <f t="shared" si="25"/>
        <v/>
      </c>
      <c r="J318" s="23" t="str">
        <f t="shared" si="26"/>
        <v/>
      </c>
      <c r="K318" s="18" t="str">
        <f t="shared" si="27"/>
        <v/>
      </c>
      <c r="L318" s="16" t="str">
        <f t="shared" ca="1" si="28"/>
        <v/>
      </c>
      <c r="M318" s="25" t="str">
        <f>IF(H318="","",IF(I318&lt;=0,"Shipped",IF(L318&lt;=AGE30,"Fresh",IF(L318&lt;=AGE60,"Watch",IF(L318&lt;=AGE90,"Aging","Old")))))</f>
        <v/>
      </c>
      <c r="N318" s="16" t="str">
        <f t="shared" si="29"/>
        <v/>
      </c>
    </row>
    <row r="319" spans="1:14" x14ac:dyDescent="0.2">
      <c r="A319" s="32"/>
      <c r="B319" s="27"/>
      <c r="C319" s="15" t="str">
        <f>IF(B319="","",IFERROR(INDEX(Items!$B$5:$B$19,MATCH(B319,Items!$A$5:$A$19,0)),"Unknown code"))</f>
        <v/>
      </c>
      <c r="D319" s="29"/>
      <c r="E319" s="18" t="str">
        <f>IF(B319="","",IFERROR(INDEX(Items!$C$5:$C$19,MATCH(B319,Items!$A$5:$A$19,0)),""))</f>
        <v/>
      </c>
      <c r="F319" s="18" t="str">
        <f t="shared" si="24"/>
        <v/>
      </c>
      <c r="G319" s="27"/>
      <c r="H319" s="23" t="str">
        <f>IF(OR(A319="",B319="",D319=""),"",IFERROR(INDEX(Items!$D$5:$D$19,MATCH(B319,Items!$A$5:$A$19,0))+SUMIFS(D$4:D318,B$4:B318,B319),""))</f>
        <v/>
      </c>
      <c r="I319" s="23" t="str">
        <f t="shared" si="25"/>
        <v/>
      </c>
      <c r="J319" s="23" t="str">
        <f t="shared" si="26"/>
        <v/>
      </c>
      <c r="K319" s="18" t="str">
        <f t="shared" si="27"/>
        <v/>
      </c>
      <c r="L319" s="16" t="str">
        <f t="shared" ca="1" si="28"/>
        <v/>
      </c>
      <c r="M319" s="25" t="str">
        <f>IF(H319="","",IF(I319&lt;=0,"Shipped",IF(L319&lt;=AGE30,"Fresh",IF(L319&lt;=AGE60,"Watch",IF(L319&lt;=AGE90,"Aging","Old")))))</f>
        <v/>
      </c>
      <c r="N319" s="16" t="str">
        <f t="shared" si="29"/>
        <v/>
      </c>
    </row>
    <row r="320" spans="1:14" x14ac:dyDescent="0.2">
      <c r="A320" s="32"/>
      <c r="B320" s="27"/>
      <c r="C320" s="15" t="str">
        <f>IF(B320="","",IFERROR(INDEX(Items!$B$5:$B$19,MATCH(B320,Items!$A$5:$A$19,0)),"Unknown code"))</f>
        <v/>
      </c>
      <c r="D320" s="29"/>
      <c r="E320" s="18" t="str">
        <f>IF(B320="","",IFERROR(INDEX(Items!$C$5:$C$19,MATCH(B320,Items!$A$5:$A$19,0)),""))</f>
        <v/>
      </c>
      <c r="F320" s="18" t="str">
        <f t="shared" si="24"/>
        <v/>
      </c>
      <c r="G320" s="27"/>
      <c r="H320" s="23" t="str">
        <f>IF(OR(A320="",B320="",D320=""),"",IFERROR(INDEX(Items!$D$5:$D$19,MATCH(B320,Items!$A$5:$A$19,0))+SUMIFS(D$4:D319,B$4:B319,B320),""))</f>
        <v/>
      </c>
      <c r="I320" s="23" t="str">
        <f t="shared" si="25"/>
        <v/>
      </c>
      <c r="J320" s="23" t="str">
        <f t="shared" si="26"/>
        <v/>
      </c>
      <c r="K320" s="18" t="str">
        <f t="shared" si="27"/>
        <v/>
      </c>
      <c r="L320" s="16" t="str">
        <f t="shared" ca="1" si="28"/>
        <v/>
      </c>
      <c r="M320" s="25" t="str">
        <f>IF(H320="","",IF(I320&lt;=0,"Shipped",IF(L320&lt;=AGE30,"Fresh",IF(L320&lt;=AGE60,"Watch",IF(L320&lt;=AGE90,"Aging","Old")))))</f>
        <v/>
      </c>
      <c r="N320" s="16" t="str">
        <f t="shared" si="29"/>
        <v/>
      </c>
    </row>
    <row r="321" spans="1:14" x14ac:dyDescent="0.2">
      <c r="A321" s="32"/>
      <c r="B321" s="27"/>
      <c r="C321" s="15" t="str">
        <f>IF(B321="","",IFERROR(INDEX(Items!$B$5:$B$19,MATCH(B321,Items!$A$5:$A$19,0)),"Unknown code"))</f>
        <v/>
      </c>
      <c r="D321" s="29"/>
      <c r="E321" s="18" t="str">
        <f>IF(B321="","",IFERROR(INDEX(Items!$C$5:$C$19,MATCH(B321,Items!$A$5:$A$19,0)),""))</f>
        <v/>
      </c>
      <c r="F321" s="18" t="str">
        <f t="shared" si="24"/>
        <v/>
      </c>
      <c r="G321" s="27"/>
      <c r="H321" s="23" t="str">
        <f>IF(OR(A321="",B321="",D321=""),"",IFERROR(INDEX(Items!$D$5:$D$19,MATCH(B321,Items!$A$5:$A$19,0))+SUMIFS(D$4:D320,B$4:B320,B321),""))</f>
        <v/>
      </c>
      <c r="I321" s="23" t="str">
        <f t="shared" si="25"/>
        <v/>
      </c>
      <c r="J321" s="23" t="str">
        <f t="shared" si="26"/>
        <v/>
      </c>
      <c r="K321" s="18" t="str">
        <f t="shared" si="27"/>
        <v/>
      </c>
      <c r="L321" s="16" t="str">
        <f t="shared" ca="1" si="28"/>
        <v/>
      </c>
      <c r="M321" s="25" t="str">
        <f>IF(H321="","",IF(I321&lt;=0,"Shipped",IF(L321&lt;=AGE30,"Fresh",IF(L321&lt;=AGE60,"Watch",IF(L321&lt;=AGE90,"Aging","Old")))))</f>
        <v/>
      </c>
      <c r="N321" s="16" t="str">
        <f t="shared" si="29"/>
        <v/>
      </c>
    </row>
    <row r="322" spans="1:14" x14ac:dyDescent="0.2">
      <c r="A322" s="32"/>
      <c r="B322" s="27"/>
      <c r="C322" s="15" t="str">
        <f>IF(B322="","",IFERROR(INDEX(Items!$B$5:$B$19,MATCH(B322,Items!$A$5:$A$19,0)),"Unknown code"))</f>
        <v/>
      </c>
      <c r="D322" s="29"/>
      <c r="E322" s="18" t="str">
        <f>IF(B322="","",IFERROR(INDEX(Items!$C$5:$C$19,MATCH(B322,Items!$A$5:$A$19,0)),""))</f>
        <v/>
      </c>
      <c r="F322" s="18" t="str">
        <f t="shared" si="24"/>
        <v/>
      </c>
      <c r="G322" s="27"/>
      <c r="H322" s="23" t="str">
        <f>IF(OR(A322="",B322="",D322=""),"",IFERROR(INDEX(Items!$D$5:$D$19,MATCH(B322,Items!$A$5:$A$19,0))+SUMIFS(D$4:D321,B$4:B321,B322),""))</f>
        <v/>
      </c>
      <c r="I322" s="23" t="str">
        <f t="shared" si="25"/>
        <v/>
      </c>
      <c r="J322" s="23" t="str">
        <f t="shared" si="26"/>
        <v/>
      </c>
      <c r="K322" s="18" t="str">
        <f t="shared" si="27"/>
        <v/>
      </c>
      <c r="L322" s="16" t="str">
        <f t="shared" ca="1" si="28"/>
        <v/>
      </c>
      <c r="M322" s="25" t="str">
        <f>IF(H322="","",IF(I322&lt;=0,"Shipped",IF(L322&lt;=AGE30,"Fresh",IF(L322&lt;=AGE60,"Watch",IF(L322&lt;=AGE90,"Aging","Old")))))</f>
        <v/>
      </c>
      <c r="N322" s="16" t="str">
        <f t="shared" si="29"/>
        <v/>
      </c>
    </row>
    <row r="323" spans="1:14" x14ac:dyDescent="0.2">
      <c r="A323" s="32"/>
      <c r="B323" s="27"/>
      <c r="C323" s="15" t="str">
        <f>IF(B323="","",IFERROR(INDEX(Items!$B$5:$B$19,MATCH(B323,Items!$A$5:$A$19,0)),"Unknown code"))</f>
        <v/>
      </c>
      <c r="D323" s="29"/>
      <c r="E323" s="18" t="str">
        <f>IF(B323="","",IFERROR(INDEX(Items!$C$5:$C$19,MATCH(B323,Items!$A$5:$A$19,0)),""))</f>
        <v/>
      </c>
      <c r="F323" s="18" t="str">
        <f t="shared" si="24"/>
        <v/>
      </c>
      <c r="G323" s="27"/>
      <c r="H323" s="23" t="str">
        <f>IF(OR(A323="",B323="",D323=""),"",IFERROR(INDEX(Items!$D$5:$D$19,MATCH(B323,Items!$A$5:$A$19,0))+SUMIFS(D$4:D322,B$4:B322,B323),""))</f>
        <v/>
      </c>
      <c r="I323" s="23" t="str">
        <f t="shared" si="25"/>
        <v/>
      </c>
      <c r="J323" s="23" t="str">
        <f t="shared" si="26"/>
        <v/>
      </c>
      <c r="K323" s="18" t="str">
        <f t="shared" si="27"/>
        <v/>
      </c>
      <c r="L323" s="16" t="str">
        <f t="shared" ca="1" si="28"/>
        <v/>
      </c>
      <c r="M323" s="25" t="str">
        <f>IF(H323="","",IF(I323&lt;=0,"Shipped",IF(L323&lt;=AGE30,"Fresh",IF(L323&lt;=AGE60,"Watch",IF(L323&lt;=AGE90,"Aging","Old")))))</f>
        <v/>
      </c>
      <c r="N323" s="16" t="str">
        <f t="shared" si="29"/>
        <v/>
      </c>
    </row>
    <row r="324" spans="1:14" x14ac:dyDescent="0.2">
      <c r="A324" s="32"/>
      <c r="B324" s="27"/>
      <c r="C324" s="15" t="str">
        <f>IF(B324="","",IFERROR(INDEX(Items!$B$5:$B$19,MATCH(B324,Items!$A$5:$A$19,0)),"Unknown code"))</f>
        <v/>
      </c>
      <c r="D324" s="29"/>
      <c r="E324" s="18" t="str">
        <f>IF(B324="","",IFERROR(INDEX(Items!$C$5:$C$19,MATCH(B324,Items!$A$5:$A$19,0)),""))</f>
        <v/>
      </c>
      <c r="F324" s="18" t="str">
        <f t="shared" si="24"/>
        <v/>
      </c>
      <c r="G324" s="27"/>
      <c r="H324" s="23" t="str">
        <f>IF(OR(A324="",B324="",D324=""),"",IFERROR(INDEX(Items!$D$5:$D$19,MATCH(B324,Items!$A$5:$A$19,0))+SUMIFS(D$4:D323,B$4:B323,B324),""))</f>
        <v/>
      </c>
      <c r="I324" s="23" t="str">
        <f t="shared" si="25"/>
        <v/>
      </c>
      <c r="J324" s="23" t="str">
        <f t="shared" si="26"/>
        <v/>
      </c>
      <c r="K324" s="18" t="str">
        <f t="shared" si="27"/>
        <v/>
      </c>
      <c r="L324" s="16" t="str">
        <f t="shared" ca="1" si="28"/>
        <v/>
      </c>
      <c r="M324" s="25" t="str">
        <f>IF(H324="","",IF(I324&lt;=0,"Shipped",IF(L324&lt;=AGE30,"Fresh",IF(L324&lt;=AGE60,"Watch",IF(L324&lt;=AGE90,"Aging","Old")))))</f>
        <v/>
      </c>
      <c r="N324" s="16" t="str">
        <f t="shared" si="29"/>
        <v/>
      </c>
    </row>
    <row r="325" spans="1:14" x14ac:dyDescent="0.2">
      <c r="A325" s="32"/>
      <c r="B325" s="27"/>
      <c r="C325" s="15" t="str">
        <f>IF(B325="","",IFERROR(INDEX(Items!$B$5:$B$19,MATCH(B325,Items!$A$5:$A$19,0)),"Unknown code"))</f>
        <v/>
      </c>
      <c r="D325" s="29"/>
      <c r="E325" s="18" t="str">
        <f>IF(B325="","",IFERROR(INDEX(Items!$C$5:$C$19,MATCH(B325,Items!$A$5:$A$19,0)),""))</f>
        <v/>
      </c>
      <c r="F325" s="18" t="str">
        <f t="shared" ref="F325:F388" si="30">IF(OR(D325="",E325=""),"",D325*E325)</f>
        <v/>
      </c>
      <c r="G325" s="27"/>
      <c r="H325" s="23" t="str">
        <f>IF(OR(A325="",B325="",D325=""),"",IFERROR(INDEX(Items!$D$5:$D$19,MATCH(B325,Items!$A$5:$A$19,0))+SUMIFS(D$4:D324,B$4:B324,B325),""))</f>
        <v/>
      </c>
      <c r="I325" s="23" t="str">
        <f t="shared" ref="I325:I388" si="31">IF(H325="","",MAX(0,MIN(D325,H325+D325-TotalShipped)))</f>
        <v/>
      </c>
      <c r="J325" s="23" t="str">
        <f t="shared" ref="J325:J388" si="32">IF(H325="","",D325-I325)</f>
        <v/>
      </c>
      <c r="K325" s="18" t="str">
        <f t="shared" ref="K325:K388" si="33">IF(OR(H325="",E325=""),"",I325*E325)</f>
        <v/>
      </c>
      <c r="L325" s="16" t="str">
        <f t="shared" ref="L325:L388" ca="1" si="34">IF(H325="","",IF(I325&gt;0,TODAY()-A325,""))</f>
        <v/>
      </c>
      <c r="M325" s="25" t="str">
        <f>IF(H325="","",IF(I325&lt;=0,"Shipped",IF(L325&lt;=AGE30,"Fresh",IF(L325&lt;=AGE60,"Watch",IF(L325&lt;=AGE90,"Aging","Old")))))</f>
        <v/>
      </c>
      <c r="N325" s="16" t="str">
        <f t="shared" ref="N325:N388" si="35">IF(H325="","",J325*A325)</f>
        <v/>
      </c>
    </row>
    <row r="326" spans="1:14" x14ac:dyDescent="0.2">
      <c r="A326" s="32"/>
      <c r="B326" s="27"/>
      <c r="C326" s="15" t="str">
        <f>IF(B326="","",IFERROR(INDEX(Items!$B$5:$B$19,MATCH(B326,Items!$A$5:$A$19,0)),"Unknown code"))</f>
        <v/>
      </c>
      <c r="D326" s="29"/>
      <c r="E326" s="18" t="str">
        <f>IF(B326="","",IFERROR(INDEX(Items!$C$5:$C$19,MATCH(B326,Items!$A$5:$A$19,0)),""))</f>
        <v/>
      </c>
      <c r="F326" s="18" t="str">
        <f t="shared" si="30"/>
        <v/>
      </c>
      <c r="G326" s="27"/>
      <c r="H326" s="23" t="str">
        <f>IF(OR(A326="",B326="",D326=""),"",IFERROR(INDEX(Items!$D$5:$D$19,MATCH(B326,Items!$A$5:$A$19,0))+SUMIFS(D$4:D325,B$4:B325,B326),""))</f>
        <v/>
      </c>
      <c r="I326" s="23" t="str">
        <f t="shared" si="31"/>
        <v/>
      </c>
      <c r="J326" s="23" t="str">
        <f t="shared" si="32"/>
        <v/>
      </c>
      <c r="K326" s="18" t="str">
        <f t="shared" si="33"/>
        <v/>
      </c>
      <c r="L326" s="16" t="str">
        <f t="shared" ca="1" si="34"/>
        <v/>
      </c>
      <c r="M326" s="25" t="str">
        <f>IF(H326="","",IF(I326&lt;=0,"Shipped",IF(L326&lt;=AGE30,"Fresh",IF(L326&lt;=AGE60,"Watch",IF(L326&lt;=AGE90,"Aging","Old")))))</f>
        <v/>
      </c>
      <c r="N326" s="16" t="str">
        <f t="shared" si="35"/>
        <v/>
      </c>
    </row>
    <row r="327" spans="1:14" x14ac:dyDescent="0.2">
      <c r="A327" s="32"/>
      <c r="B327" s="27"/>
      <c r="C327" s="15" t="str">
        <f>IF(B327="","",IFERROR(INDEX(Items!$B$5:$B$19,MATCH(B327,Items!$A$5:$A$19,0)),"Unknown code"))</f>
        <v/>
      </c>
      <c r="D327" s="29"/>
      <c r="E327" s="18" t="str">
        <f>IF(B327="","",IFERROR(INDEX(Items!$C$5:$C$19,MATCH(B327,Items!$A$5:$A$19,0)),""))</f>
        <v/>
      </c>
      <c r="F327" s="18" t="str">
        <f t="shared" si="30"/>
        <v/>
      </c>
      <c r="G327" s="27"/>
      <c r="H327" s="23" t="str">
        <f>IF(OR(A327="",B327="",D327=""),"",IFERROR(INDEX(Items!$D$5:$D$19,MATCH(B327,Items!$A$5:$A$19,0))+SUMIFS(D$4:D326,B$4:B326,B327),""))</f>
        <v/>
      </c>
      <c r="I327" s="23" t="str">
        <f t="shared" si="31"/>
        <v/>
      </c>
      <c r="J327" s="23" t="str">
        <f t="shared" si="32"/>
        <v/>
      </c>
      <c r="K327" s="18" t="str">
        <f t="shared" si="33"/>
        <v/>
      </c>
      <c r="L327" s="16" t="str">
        <f t="shared" ca="1" si="34"/>
        <v/>
      </c>
      <c r="M327" s="25" t="str">
        <f>IF(H327="","",IF(I327&lt;=0,"Shipped",IF(L327&lt;=AGE30,"Fresh",IF(L327&lt;=AGE60,"Watch",IF(L327&lt;=AGE90,"Aging","Old")))))</f>
        <v/>
      </c>
      <c r="N327" s="16" t="str">
        <f t="shared" si="35"/>
        <v/>
      </c>
    </row>
    <row r="328" spans="1:14" x14ac:dyDescent="0.2">
      <c r="A328" s="32"/>
      <c r="B328" s="27"/>
      <c r="C328" s="15" t="str">
        <f>IF(B328="","",IFERROR(INDEX(Items!$B$5:$B$19,MATCH(B328,Items!$A$5:$A$19,0)),"Unknown code"))</f>
        <v/>
      </c>
      <c r="D328" s="29"/>
      <c r="E328" s="18" t="str">
        <f>IF(B328="","",IFERROR(INDEX(Items!$C$5:$C$19,MATCH(B328,Items!$A$5:$A$19,0)),""))</f>
        <v/>
      </c>
      <c r="F328" s="18" t="str">
        <f t="shared" si="30"/>
        <v/>
      </c>
      <c r="G328" s="27"/>
      <c r="H328" s="23" t="str">
        <f>IF(OR(A328="",B328="",D328=""),"",IFERROR(INDEX(Items!$D$5:$D$19,MATCH(B328,Items!$A$5:$A$19,0))+SUMIFS(D$4:D327,B$4:B327,B328),""))</f>
        <v/>
      </c>
      <c r="I328" s="23" t="str">
        <f t="shared" si="31"/>
        <v/>
      </c>
      <c r="J328" s="23" t="str">
        <f t="shared" si="32"/>
        <v/>
      </c>
      <c r="K328" s="18" t="str">
        <f t="shared" si="33"/>
        <v/>
      </c>
      <c r="L328" s="16" t="str">
        <f t="shared" ca="1" si="34"/>
        <v/>
      </c>
      <c r="M328" s="25" t="str">
        <f>IF(H328="","",IF(I328&lt;=0,"Shipped",IF(L328&lt;=AGE30,"Fresh",IF(L328&lt;=AGE60,"Watch",IF(L328&lt;=AGE90,"Aging","Old")))))</f>
        <v/>
      </c>
      <c r="N328" s="16" t="str">
        <f t="shared" si="35"/>
        <v/>
      </c>
    </row>
    <row r="329" spans="1:14" x14ac:dyDescent="0.2">
      <c r="A329" s="32"/>
      <c r="B329" s="27"/>
      <c r="C329" s="15" t="str">
        <f>IF(B329="","",IFERROR(INDEX(Items!$B$5:$B$19,MATCH(B329,Items!$A$5:$A$19,0)),"Unknown code"))</f>
        <v/>
      </c>
      <c r="D329" s="29"/>
      <c r="E329" s="18" t="str">
        <f>IF(B329="","",IFERROR(INDEX(Items!$C$5:$C$19,MATCH(B329,Items!$A$5:$A$19,0)),""))</f>
        <v/>
      </c>
      <c r="F329" s="18" t="str">
        <f t="shared" si="30"/>
        <v/>
      </c>
      <c r="G329" s="27"/>
      <c r="H329" s="23" t="str">
        <f>IF(OR(A329="",B329="",D329=""),"",IFERROR(INDEX(Items!$D$5:$D$19,MATCH(B329,Items!$A$5:$A$19,0))+SUMIFS(D$4:D328,B$4:B328,B329),""))</f>
        <v/>
      </c>
      <c r="I329" s="23" t="str">
        <f t="shared" si="31"/>
        <v/>
      </c>
      <c r="J329" s="23" t="str">
        <f t="shared" si="32"/>
        <v/>
      </c>
      <c r="K329" s="18" t="str">
        <f t="shared" si="33"/>
        <v/>
      </c>
      <c r="L329" s="16" t="str">
        <f t="shared" ca="1" si="34"/>
        <v/>
      </c>
      <c r="M329" s="25" t="str">
        <f>IF(H329="","",IF(I329&lt;=0,"Shipped",IF(L329&lt;=AGE30,"Fresh",IF(L329&lt;=AGE60,"Watch",IF(L329&lt;=AGE90,"Aging","Old")))))</f>
        <v/>
      </c>
      <c r="N329" s="16" t="str">
        <f t="shared" si="35"/>
        <v/>
      </c>
    </row>
    <row r="330" spans="1:14" x14ac:dyDescent="0.2">
      <c r="A330" s="32"/>
      <c r="B330" s="27"/>
      <c r="C330" s="15" t="str">
        <f>IF(B330="","",IFERROR(INDEX(Items!$B$5:$B$19,MATCH(B330,Items!$A$5:$A$19,0)),"Unknown code"))</f>
        <v/>
      </c>
      <c r="D330" s="29"/>
      <c r="E330" s="18" t="str">
        <f>IF(B330="","",IFERROR(INDEX(Items!$C$5:$C$19,MATCH(B330,Items!$A$5:$A$19,0)),""))</f>
        <v/>
      </c>
      <c r="F330" s="18" t="str">
        <f t="shared" si="30"/>
        <v/>
      </c>
      <c r="G330" s="27"/>
      <c r="H330" s="23" t="str">
        <f>IF(OR(A330="",B330="",D330=""),"",IFERROR(INDEX(Items!$D$5:$D$19,MATCH(B330,Items!$A$5:$A$19,0))+SUMIFS(D$4:D329,B$4:B329,B330),""))</f>
        <v/>
      </c>
      <c r="I330" s="23" t="str">
        <f t="shared" si="31"/>
        <v/>
      </c>
      <c r="J330" s="23" t="str">
        <f t="shared" si="32"/>
        <v/>
      </c>
      <c r="K330" s="18" t="str">
        <f t="shared" si="33"/>
        <v/>
      </c>
      <c r="L330" s="16" t="str">
        <f t="shared" ca="1" si="34"/>
        <v/>
      </c>
      <c r="M330" s="25" t="str">
        <f>IF(H330="","",IF(I330&lt;=0,"Shipped",IF(L330&lt;=AGE30,"Fresh",IF(L330&lt;=AGE60,"Watch",IF(L330&lt;=AGE90,"Aging","Old")))))</f>
        <v/>
      </c>
      <c r="N330" s="16" t="str">
        <f t="shared" si="35"/>
        <v/>
      </c>
    </row>
    <row r="331" spans="1:14" x14ac:dyDescent="0.2">
      <c r="A331" s="32"/>
      <c r="B331" s="27"/>
      <c r="C331" s="15" t="str">
        <f>IF(B331="","",IFERROR(INDEX(Items!$B$5:$B$19,MATCH(B331,Items!$A$5:$A$19,0)),"Unknown code"))</f>
        <v/>
      </c>
      <c r="D331" s="29"/>
      <c r="E331" s="18" t="str">
        <f>IF(B331="","",IFERROR(INDEX(Items!$C$5:$C$19,MATCH(B331,Items!$A$5:$A$19,0)),""))</f>
        <v/>
      </c>
      <c r="F331" s="18" t="str">
        <f t="shared" si="30"/>
        <v/>
      </c>
      <c r="G331" s="27"/>
      <c r="H331" s="23" t="str">
        <f>IF(OR(A331="",B331="",D331=""),"",IFERROR(INDEX(Items!$D$5:$D$19,MATCH(B331,Items!$A$5:$A$19,0))+SUMIFS(D$4:D330,B$4:B330,B331),""))</f>
        <v/>
      </c>
      <c r="I331" s="23" t="str">
        <f t="shared" si="31"/>
        <v/>
      </c>
      <c r="J331" s="23" t="str">
        <f t="shared" si="32"/>
        <v/>
      </c>
      <c r="K331" s="18" t="str">
        <f t="shared" si="33"/>
        <v/>
      </c>
      <c r="L331" s="16" t="str">
        <f t="shared" ca="1" si="34"/>
        <v/>
      </c>
      <c r="M331" s="25" t="str">
        <f>IF(H331="","",IF(I331&lt;=0,"Shipped",IF(L331&lt;=AGE30,"Fresh",IF(L331&lt;=AGE60,"Watch",IF(L331&lt;=AGE90,"Aging","Old")))))</f>
        <v/>
      </c>
      <c r="N331" s="16" t="str">
        <f t="shared" si="35"/>
        <v/>
      </c>
    </row>
    <row r="332" spans="1:14" x14ac:dyDescent="0.2">
      <c r="A332" s="32"/>
      <c r="B332" s="27"/>
      <c r="C332" s="15" t="str">
        <f>IF(B332="","",IFERROR(INDEX(Items!$B$5:$B$19,MATCH(B332,Items!$A$5:$A$19,0)),"Unknown code"))</f>
        <v/>
      </c>
      <c r="D332" s="29"/>
      <c r="E332" s="18" t="str">
        <f>IF(B332="","",IFERROR(INDEX(Items!$C$5:$C$19,MATCH(B332,Items!$A$5:$A$19,0)),""))</f>
        <v/>
      </c>
      <c r="F332" s="18" t="str">
        <f t="shared" si="30"/>
        <v/>
      </c>
      <c r="G332" s="27"/>
      <c r="H332" s="23" t="str">
        <f>IF(OR(A332="",B332="",D332=""),"",IFERROR(INDEX(Items!$D$5:$D$19,MATCH(B332,Items!$A$5:$A$19,0))+SUMIFS(D$4:D331,B$4:B331,B332),""))</f>
        <v/>
      </c>
      <c r="I332" s="23" t="str">
        <f t="shared" si="31"/>
        <v/>
      </c>
      <c r="J332" s="23" t="str">
        <f t="shared" si="32"/>
        <v/>
      </c>
      <c r="K332" s="18" t="str">
        <f t="shared" si="33"/>
        <v/>
      </c>
      <c r="L332" s="16" t="str">
        <f t="shared" ca="1" si="34"/>
        <v/>
      </c>
      <c r="M332" s="25" t="str">
        <f>IF(H332="","",IF(I332&lt;=0,"Shipped",IF(L332&lt;=AGE30,"Fresh",IF(L332&lt;=AGE60,"Watch",IF(L332&lt;=AGE90,"Aging","Old")))))</f>
        <v/>
      </c>
      <c r="N332" s="16" t="str">
        <f t="shared" si="35"/>
        <v/>
      </c>
    </row>
    <row r="333" spans="1:14" x14ac:dyDescent="0.2">
      <c r="A333" s="32"/>
      <c r="B333" s="27"/>
      <c r="C333" s="15" t="str">
        <f>IF(B333="","",IFERROR(INDEX(Items!$B$5:$B$19,MATCH(B333,Items!$A$5:$A$19,0)),"Unknown code"))</f>
        <v/>
      </c>
      <c r="D333" s="29"/>
      <c r="E333" s="18" t="str">
        <f>IF(B333="","",IFERROR(INDEX(Items!$C$5:$C$19,MATCH(B333,Items!$A$5:$A$19,0)),""))</f>
        <v/>
      </c>
      <c r="F333" s="18" t="str">
        <f t="shared" si="30"/>
        <v/>
      </c>
      <c r="G333" s="27"/>
      <c r="H333" s="23" t="str">
        <f>IF(OR(A333="",B333="",D333=""),"",IFERROR(INDEX(Items!$D$5:$D$19,MATCH(B333,Items!$A$5:$A$19,0))+SUMIFS(D$4:D332,B$4:B332,B333),""))</f>
        <v/>
      </c>
      <c r="I333" s="23" t="str">
        <f t="shared" si="31"/>
        <v/>
      </c>
      <c r="J333" s="23" t="str">
        <f t="shared" si="32"/>
        <v/>
      </c>
      <c r="K333" s="18" t="str">
        <f t="shared" si="33"/>
        <v/>
      </c>
      <c r="L333" s="16" t="str">
        <f t="shared" ca="1" si="34"/>
        <v/>
      </c>
      <c r="M333" s="25" t="str">
        <f>IF(H333="","",IF(I333&lt;=0,"Shipped",IF(L333&lt;=AGE30,"Fresh",IF(L333&lt;=AGE60,"Watch",IF(L333&lt;=AGE90,"Aging","Old")))))</f>
        <v/>
      </c>
      <c r="N333" s="16" t="str">
        <f t="shared" si="35"/>
        <v/>
      </c>
    </row>
    <row r="334" spans="1:14" x14ac:dyDescent="0.2">
      <c r="A334" s="32"/>
      <c r="B334" s="27"/>
      <c r="C334" s="15" t="str">
        <f>IF(B334="","",IFERROR(INDEX(Items!$B$5:$B$19,MATCH(B334,Items!$A$5:$A$19,0)),"Unknown code"))</f>
        <v/>
      </c>
      <c r="D334" s="29"/>
      <c r="E334" s="18" t="str">
        <f>IF(B334="","",IFERROR(INDEX(Items!$C$5:$C$19,MATCH(B334,Items!$A$5:$A$19,0)),""))</f>
        <v/>
      </c>
      <c r="F334" s="18" t="str">
        <f t="shared" si="30"/>
        <v/>
      </c>
      <c r="G334" s="27"/>
      <c r="H334" s="23" t="str">
        <f>IF(OR(A334="",B334="",D334=""),"",IFERROR(INDEX(Items!$D$5:$D$19,MATCH(B334,Items!$A$5:$A$19,0))+SUMIFS(D$4:D333,B$4:B333,B334),""))</f>
        <v/>
      </c>
      <c r="I334" s="23" t="str">
        <f t="shared" si="31"/>
        <v/>
      </c>
      <c r="J334" s="23" t="str">
        <f t="shared" si="32"/>
        <v/>
      </c>
      <c r="K334" s="18" t="str">
        <f t="shared" si="33"/>
        <v/>
      </c>
      <c r="L334" s="16" t="str">
        <f t="shared" ca="1" si="34"/>
        <v/>
      </c>
      <c r="M334" s="25" t="str">
        <f>IF(H334="","",IF(I334&lt;=0,"Shipped",IF(L334&lt;=AGE30,"Fresh",IF(L334&lt;=AGE60,"Watch",IF(L334&lt;=AGE90,"Aging","Old")))))</f>
        <v/>
      </c>
      <c r="N334" s="16" t="str">
        <f t="shared" si="35"/>
        <v/>
      </c>
    </row>
    <row r="335" spans="1:14" x14ac:dyDescent="0.2">
      <c r="A335" s="32"/>
      <c r="B335" s="27"/>
      <c r="C335" s="15" t="str">
        <f>IF(B335="","",IFERROR(INDEX(Items!$B$5:$B$19,MATCH(B335,Items!$A$5:$A$19,0)),"Unknown code"))</f>
        <v/>
      </c>
      <c r="D335" s="29"/>
      <c r="E335" s="18" t="str">
        <f>IF(B335="","",IFERROR(INDEX(Items!$C$5:$C$19,MATCH(B335,Items!$A$5:$A$19,0)),""))</f>
        <v/>
      </c>
      <c r="F335" s="18" t="str">
        <f t="shared" si="30"/>
        <v/>
      </c>
      <c r="G335" s="27"/>
      <c r="H335" s="23" t="str">
        <f>IF(OR(A335="",B335="",D335=""),"",IFERROR(INDEX(Items!$D$5:$D$19,MATCH(B335,Items!$A$5:$A$19,0))+SUMIFS(D$4:D334,B$4:B334,B335),""))</f>
        <v/>
      </c>
      <c r="I335" s="23" t="str">
        <f t="shared" si="31"/>
        <v/>
      </c>
      <c r="J335" s="23" t="str">
        <f t="shared" si="32"/>
        <v/>
      </c>
      <c r="K335" s="18" t="str">
        <f t="shared" si="33"/>
        <v/>
      </c>
      <c r="L335" s="16" t="str">
        <f t="shared" ca="1" si="34"/>
        <v/>
      </c>
      <c r="M335" s="25" t="str">
        <f>IF(H335="","",IF(I335&lt;=0,"Shipped",IF(L335&lt;=AGE30,"Fresh",IF(L335&lt;=AGE60,"Watch",IF(L335&lt;=AGE90,"Aging","Old")))))</f>
        <v/>
      </c>
      <c r="N335" s="16" t="str">
        <f t="shared" si="35"/>
        <v/>
      </c>
    </row>
    <row r="336" spans="1:14" x14ac:dyDescent="0.2">
      <c r="A336" s="32"/>
      <c r="B336" s="27"/>
      <c r="C336" s="15" t="str">
        <f>IF(B336="","",IFERROR(INDEX(Items!$B$5:$B$19,MATCH(B336,Items!$A$5:$A$19,0)),"Unknown code"))</f>
        <v/>
      </c>
      <c r="D336" s="29"/>
      <c r="E336" s="18" t="str">
        <f>IF(B336="","",IFERROR(INDEX(Items!$C$5:$C$19,MATCH(B336,Items!$A$5:$A$19,0)),""))</f>
        <v/>
      </c>
      <c r="F336" s="18" t="str">
        <f t="shared" si="30"/>
        <v/>
      </c>
      <c r="G336" s="27"/>
      <c r="H336" s="23" t="str">
        <f>IF(OR(A336="",B336="",D336=""),"",IFERROR(INDEX(Items!$D$5:$D$19,MATCH(B336,Items!$A$5:$A$19,0))+SUMIFS(D$4:D335,B$4:B335,B336),""))</f>
        <v/>
      </c>
      <c r="I336" s="23" t="str">
        <f t="shared" si="31"/>
        <v/>
      </c>
      <c r="J336" s="23" t="str">
        <f t="shared" si="32"/>
        <v/>
      </c>
      <c r="K336" s="18" t="str">
        <f t="shared" si="33"/>
        <v/>
      </c>
      <c r="L336" s="16" t="str">
        <f t="shared" ca="1" si="34"/>
        <v/>
      </c>
      <c r="M336" s="25" t="str">
        <f>IF(H336="","",IF(I336&lt;=0,"Shipped",IF(L336&lt;=AGE30,"Fresh",IF(L336&lt;=AGE60,"Watch",IF(L336&lt;=AGE90,"Aging","Old")))))</f>
        <v/>
      </c>
      <c r="N336" s="16" t="str">
        <f t="shared" si="35"/>
        <v/>
      </c>
    </row>
    <row r="337" spans="1:14" x14ac:dyDescent="0.2">
      <c r="A337" s="32"/>
      <c r="B337" s="27"/>
      <c r="C337" s="15" t="str">
        <f>IF(B337="","",IFERROR(INDEX(Items!$B$5:$B$19,MATCH(B337,Items!$A$5:$A$19,0)),"Unknown code"))</f>
        <v/>
      </c>
      <c r="D337" s="29"/>
      <c r="E337" s="18" t="str">
        <f>IF(B337="","",IFERROR(INDEX(Items!$C$5:$C$19,MATCH(B337,Items!$A$5:$A$19,0)),""))</f>
        <v/>
      </c>
      <c r="F337" s="18" t="str">
        <f t="shared" si="30"/>
        <v/>
      </c>
      <c r="G337" s="27"/>
      <c r="H337" s="23" t="str">
        <f>IF(OR(A337="",B337="",D337=""),"",IFERROR(INDEX(Items!$D$5:$D$19,MATCH(B337,Items!$A$5:$A$19,0))+SUMIFS(D$4:D336,B$4:B336,B337),""))</f>
        <v/>
      </c>
      <c r="I337" s="23" t="str">
        <f t="shared" si="31"/>
        <v/>
      </c>
      <c r="J337" s="23" t="str">
        <f t="shared" si="32"/>
        <v/>
      </c>
      <c r="K337" s="18" t="str">
        <f t="shared" si="33"/>
        <v/>
      </c>
      <c r="L337" s="16" t="str">
        <f t="shared" ca="1" si="34"/>
        <v/>
      </c>
      <c r="M337" s="25" t="str">
        <f>IF(H337="","",IF(I337&lt;=0,"Shipped",IF(L337&lt;=AGE30,"Fresh",IF(L337&lt;=AGE60,"Watch",IF(L337&lt;=AGE90,"Aging","Old")))))</f>
        <v/>
      </c>
      <c r="N337" s="16" t="str">
        <f t="shared" si="35"/>
        <v/>
      </c>
    </row>
    <row r="338" spans="1:14" x14ac:dyDescent="0.2">
      <c r="A338" s="32"/>
      <c r="B338" s="27"/>
      <c r="C338" s="15" t="str">
        <f>IF(B338="","",IFERROR(INDEX(Items!$B$5:$B$19,MATCH(B338,Items!$A$5:$A$19,0)),"Unknown code"))</f>
        <v/>
      </c>
      <c r="D338" s="29"/>
      <c r="E338" s="18" t="str">
        <f>IF(B338="","",IFERROR(INDEX(Items!$C$5:$C$19,MATCH(B338,Items!$A$5:$A$19,0)),""))</f>
        <v/>
      </c>
      <c r="F338" s="18" t="str">
        <f t="shared" si="30"/>
        <v/>
      </c>
      <c r="G338" s="27"/>
      <c r="H338" s="23" t="str">
        <f>IF(OR(A338="",B338="",D338=""),"",IFERROR(INDEX(Items!$D$5:$D$19,MATCH(B338,Items!$A$5:$A$19,0))+SUMIFS(D$4:D337,B$4:B337,B338),""))</f>
        <v/>
      </c>
      <c r="I338" s="23" t="str">
        <f t="shared" si="31"/>
        <v/>
      </c>
      <c r="J338" s="23" t="str">
        <f t="shared" si="32"/>
        <v/>
      </c>
      <c r="K338" s="18" t="str">
        <f t="shared" si="33"/>
        <v/>
      </c>
      <c r="L338" s="16" t="str">
        <f t="shared" ca="1" si="34"/>
        <v/>
      </c>
      <c r="M338" s="25" t="str">
        <f>IF(H338="","",IF(I338&lt;=0,"Shipped",IF(L338&lt;=AGE30,"Fresh",IF(L338&lt;=AGE60,"Watch",IF(L338&lt;=AGE90,"Aging","Old")))))</f>
        <v/>
      </c>
      <c r="N338" s="16" t="str">
        <f t="shared" si="35"/>
        <v/>
      </c>
    </row>
    <row r="339" spans="1:14" x14ac:dyDescent="0.2">
      <c r="A339" s="32"/>
      <c r="B339" s="27"/>
      <c r="C339" s="15" t="str">
        <f>IF(B339="","",IFERROR(INDEX(Items!$B$5:$B$19,MATCH(B339,Items!$A$5:$A$19,0)),"Unknown code"))</f>
        <v/>
      </c>
      <c r="D339" s="29"/>
      <c r="E339" s="18" t="str">
        <f>IF(B339="","",IFERROR(INDEX(Items!$C$5:$C$19,MATCH(B339,Items!$A$5:$A$19,0)),""))</f>
        <v/>
      </c>
      <c r="F339" s="18" t="str">
        <f t="shared" si="30"/>
        <v/>
      </c>
      <c r="G339" s="27"/>
      <c r="H339" s="23" t="str">
        <f>IF(OR(A339="",B339="",D339=""),"",IFERROR(INDEX(Items!$D$5:$D$19,MATCH(B339,Items!$A$5:$A$19,0))+SUMIFS(D$4:D338,B$4:B338,B339),""))</f>
        <v/>
      </c>
      <c r="I339" s="23" t="str">
        <f t="shared" si="31"/>
        <v/>
      </c>
      <c r="J339" s="23" t="str">
        <f t="shared" si="32"/>
        <v/>
      </c>
      <c r="K339" s="18" t="str">
        <f t="shared" si="33"/>
        <v/>
      </c>
      <c r="L339" s="16" t="str">
        <f t="shared" ca="1" si="34"/>
        <v/>
      </c>
      <c r="M339" s="25" t="str">
        <f>IF(H339="","",IF(I339&lt;=0,"Shipped",IF(L339&lt;=AGE30,"Fresh",IF(L339&lt;=AGE60,"Watch",IF(L339&lt;=AGE90,"Aging","Old")))))</f>
        <v/>
      </c>
      <c r="N339" s="16" t="str">
        <f t="shared" si="35"/>
        <v/>
      </c>
    </row>
    <row r="340" spans="1:14" x14ac:dyDescent="0.2">
      <c r="A340" s="32"/>
      <c r="B340" s="27"/>
      <c r="C340" s="15" t="str">
        <f>IF(B340="","",IFERROR(INDEX(Items!$B$5:$B$19,MATCH(B340,Items!$A$5:$A$19,0)),"Unknown code"))</f>
        <v/>
      </c>
      <c r="D340" s="29"/>
      <c r="E340" s="18" t="str">
        <f>IF(B340="","",IFERROR(INDEX(Items!$C$5:$C$19,MATCH(B340,Items!$A$5:$A$19,0)),""))</f>
        <v/>
      </c>
      <c r="F340" s="18" t="str">
        <f t="shared" si="30"/>
        <v/>
      </c>
      <c r="G340" s="27"/>
      <c r="H340" s="23" t="str">
        <f>IF(OR(A340="",B340="",D340=""),"",IFERROR(INDEX(Items!$D$5:$D$19,MATCH(B340,Items!$A$5:$A$19,0))+SUMIFS(D$4:D339,B$4:B339,B340),""))</f>
        <v/>
      </c>
      <c r="I340" s="23" t="str">
        <f t="shared" si="31"/>
        <v/>
      </c>
      <c r="J340" s="23" t="str">
        <f t="shared" si="32"/>
        <v/>
      </c>
      <c r="K340" s="18" t="str">
        <f t="shared" si="33"/>
        <v/>
      </c>
      <c r="L340" s="16" t="str">
        <f t="shared" ca="1" si="34"/>
        <v/>
      </c>
      <c r="M340" s="25" t="str">
        <f>IF(H340="","",IF(I340&lt;=0,"Shipped",IF(L340&lt;=AGE30,"Fresh",IF(L340&lt;=AGE60,"Watch",IF(L340&lt;=AGE90,"Aging","Old")))))</f>
        <v/>
      </c>
      <c r="N340" s="16" t="str">
        <f t="shared" si="35"/>
        <v/>
      </c>
    </row>
    <row r="341" spans="1:14" x14ac:dyDescent="0.2">
      <c r="A341" s="32"/>
      <c r="B341" s="27"/>
      <c r="C341" s="15" t="str">
        <f>IF(B341="","",IFERROR(INDEX(Items!$B$5:$B$19,MATCH(B341,Items!$A$5:$A$19,0)),"Unknown code"))</f>
        <v/>
      </c>
      <c r="D341" s="29"/>
      <c r="E341" s="18" t="str">
        <f>IF(B341="","",IFERROR(INDEX(Items!$C$5:$C$19,MATCH(B341,Items!$A$5:$A$19,0)),""))</f>
        <v/>
      </c>
      <c r="F341" s="18" t="str">
        <f t="shared" si="30"/>
        <v/>
      </c>
      <c r="G341" s="27"/>
      <c r="H341" s="23" t="str">
        <f>IF(OR(A341="",B341="",D341=""),"",IFERROR(INDEX(Items!$D$5:$D$19,MATCH(B341,Items!$A$5:$A$19,0))+SUMIFS(D$4:D340,B$4:B340,B341),""))</f>
        <v/>
      </c>
      <c r="I341" s="23" t="str">
        <f t="shared" si="31"/>
        <v/>
      </c>
      <c r="J341" s="23" t="str">
        <f t="shared" si="32"/>
        <v/>
      </c>
      <c r="K341" s="18" t="str">
        <f t="shared" si="33"/>
        <v/>
      </c>
      <c r="L341" s="16" t="str">
        <f t="shared" ca="1" si="34"/>
        <v/>
      </c>
      <c r="M341" s="25" t="str">
        <f>IF(H341="","",IF(I341&lt;=0,"Shipped",IF(L341&lt;=AGE30,"Fresh",IF(L341&lt;=AGE60,"Watch",IF(L341&lt;=AGE90,"Aging","Old")))))</f>
        <v/>
      </c>
      <c r="N341" s="16" t="str">
        <f t="shared" si="35"/>
        <v/>
      </c>
    </row>
    <row r="342" spans="1:14" x14ac:dyDescent="0.2">
      <c r="A342" s="32"/>
      <c r="B342" s="27"/>
      <c r="C342" s="15" t="str">
        <f>IF(B342="","",IFERROR(INDEX(Items!$B$5:$B$19,MATCH(B342,Items!$A$5:$A$19,0)),"Unknown code"))</f>
        <v/>
      </c>
      <c r="D342" s="29"/>
      <c r="E342" s="18" t="str">
        <f>IF(B342="","",IFERROR(INDEX(Items!$C$5:$C$19,MATCH(B342,Items!$A$5:$A$19,0)),""))</f>
        <v/>
      </c>
      <c r="F342" s="18" t="str">
        <f t="shared" si="30"/>
        <v/>
      </c>
      <c r="G342" s="27"/>
      <c r="H342" s="23" t="str">
        <f>IF(OR(A342="",B342="",D342=""),"",IFERROR(INDEX(Items!$D$5:$D$19,MATCH(B342,Items!$A$5:$A$19,0))+SUMIFS(D$4:D341,B$4:B341,B342),""))</f>
        <v/>
      </c>
      <c r="I342" s="23" t="str">
        <f t="shared" si="31"/>
        <v/>
      </c>
      <c r="J342" s="23" t="str">
        <f t="shared" si="32"/>
        <v/>
      </c>
      <c r="K342" s="18" t="str">
        <f t="shared" si="33"/>
        <v/>
      </c>
      <c r="L342" s="16" t="str">
        <f t="shared" ca="1" si="34"/>
        <v/>
      </c>
      <c r="M342" s="25" t="str">
        <f>IF(H342="","",IF(I342&lt;=0,"Shipped",IF(L342&lt;=AGE30,"Fresh",IF(L342&lt;=AGE60,"Watch",IF(L342&lt;=AGE90,"Aging","Old")))))</f>
        <v/>
      </c>
      <c r="N342" s="16" t="str">
        <f t="shared" si="35"/>
        <v/>
      </c>
    </row>
    <row r="343" spans="1:14" x14ac:dyDescent="0.2">
      <c r="A343" s="32"/>
      <c r="B343" s="27"/>
      <c r="C343" s="15" t="str">
        <f>IF(B343="","",IFERROR(INDEX(Items!$B$5:$B$19,MATCH(B343,Items!$A$5:$A$19,0)),"Unknown code"))</f>
        <v/>
      </c>
      <c r="D343" s="29"/>
      <c r="E343" s="18" t="str">
        <f>IF(B343="","",IFERROR(INDEX(Items!$C$5:$C$19,MATCH(B343,Items!$A$5:$A$19,0)),""))</f>
        <v/>
      </c>
      <c r="F343" s="18" t="str">
        <f t="shared" si="30"/>
        <v/>
      </c>
      <c r="G343" s="27"/>
      <c r="H343" s="23" t="str">
        <f>IF(OR(A343="",B343="",D343=""),"",IFERROR(INDEX(Items!$D$5:$D$19,MATCH(B343,Items!$A$5:$A$19,0))+SUMIFS(D$4:D342,B$4:B342,B343),""))</f>
        <v/>
      </c>
      <c r="I343" s="23" t="str">
        <f t="shared" si="31"/>
        <v/>
      </c>
      <c r="J343" s="23" t="str">
        <f t="shared" si="32"/>
        <v/>
      </c>
      <c r="K343" s="18" t="str">
        <f t="shared" si="33"/>
        <v/>
      </c>
      <c r="L343" s="16" t="str">
        <f t="shared" ca="1" si="34"/>
        <v/>
      </c>
      <c r="M343" s="25" t="str">
        <f>IF(H343="","",IF(I343&lt;=0,"Shipped",IF(L343&lt;=AGE30,"Fresh",IF(L343&lt;=AGE60,"Watch",IF(L343&lt;=AGE90,"Aging","Old")))))</f>
        <v/>
      </c>
      <c r="N343" s="16" t="str">
        <f t="shared" si="35"/>
        <v/>
      </c>
    </row>
    <row r="344" spans="1:14" x14ac:dyDescent="0.2">
      <c r="A344" s="32"/>
      <c r="B344" s="27"/>
      <c r="C344" s="15" t="str">
        <f>IF(B344="","",IFERROR(INDEX(Items!$B$5:$B$19,MATCH(B344,Items!$A$5:$A$19,0)),"Unknown code"))</f>
        <v/>
      </c>
      <c r="D344" s="29"/>
      <c r="E344" s="18" t="str">
        <f>IF(B344="","",IFERROR(INDEX(Items!$C$5:$C$19,MATCH(B344,Items!$A$5:$A$19,0)),""))</f>
        <v/>
      </c>
      <c r="F344" s="18" t="str">
        <f t="shared" si="30"/>
        <v/>
      </c>
      <c r="G344" s="27"/>
      <c r="H344" s="23" t="str">
        <f>IF(OR(A344="",B344="",D344=""),"",IFERROR(INDEX(Items!$D$5:$D$19,MATCH(B344,Items!$A$5:$A$19,0))+SUMIFS(D$4:D343,B$4:B343,B344),""))</f>
        <v/>
      </c>
      <c r="I344" s="23" t="str">
        <f t="shared" si="31"/>
        <v/>
      </c>
      <c r="J344" s="23" t="str">
        <f t="shared" si="32"/>
        <v/>
      </c>
      <c r="K344" s="18" t="str">
        <f t="shared" si="33"/>
        <v/>
      </c>
      <c r="L344" s="16" t="str">
        <f t="shared" ca="1" si="34"/>
        <v/>
      </c>
      <c r="M344" s="25" t="str">
        <f>IF(H344="","",IF(I344&lt;=0,"Shipped",IF(L344&lt;=AGE30,"Fresh",IF(L344&lt;=AGE60,"Watch",IF(L344&lt;=AGE90,"Aging","Old")))))</f>
        <v/>
      </c>
      <c r="N344" s="16" t="str">
        <f t="shared" si="35"/>
        <v/>
      </c>
    </row>
    <row r="345" spans="1:14" x14ac:dyDescent="0.2">
      <c r="A345" s="32"/>
      <c r="B345" s="27"/>
      <c r="C345" s="15" t="str">
        <f>IF(B345="","",IFERROR(INDEX(Items!$B$5:$B$19,MATCH(B345,Items!$A$5:$A$19,0)),"Unknown code"))</f>
        <v/>
      </c>
      <c r="D345" s="29"/>
      <c r="E345" s="18" t="str">
        <f>IF(B345="","",IFERROR(INDEX(Items!$C$5:$C$19,MATCH(B345,Items!$A$5:$A$19,0)),""))</f>
        <v/>
      </c>
      <c r="F345" s="18" t="str">
        <f t="shared" si="30"/>
        <v/>
      </c>
      <c r="G345" s="27"/>
      <c r="H345" s="23" t="str">
        <f>IF(OR(A345="",B345="",D345=""),"",IFERROR(INDEX(Items!$D$5:$D$19,MATCH(B345,Items!$A$5:$A$19,0))+SUMIFS(D$4:D344,B$4:B344,B345),""))</f>
        <v/>
      </c>
      <c r="I345" s="23" t="str">
        <f t="shared" si="31"/>
        <v/>
      </c>
      <c r="J345" s="23" t="str">
        <f t="shared" si="32"/>
        <v/>
      </c>
      <c r="K345" s="18" t="str">
        <f t="shared" si="33"/>
        <v/>
      </c>
      <c r="L345" s="16" t="str">
        <f t="shared" ca="1" si="34"/>
        <v/>
      </c>
      <c r="M345" s="25" t="str">
        <f>IF(H345="","",IF(I345&lt;=0,"Shipped",IF(L345&lt;=AGE30,"Fresh",IF(L345&lt;=AGE60,"Watch",IF(L345&lt;=AGE90,"Aging","Old")))))</f>
        <v/>
      </c>
      <c r="N345" s="16" t="str">
        <f t="shared" si="35"/>
        <v/>
      </c>
    </row>
    <row r="346" spans="1:14" x14ac:dyDescent="0.2">
      <c r="A346" s="32"/>
      <c r="B346" s="27"/>
      <c r="C346" s="15" t="str">
        <f>IF(B346="","",IFERROR(INDEX(Items!$B$5:$B$19,MATCH(B346,Items!$A$5:$A$19,0)),"Unknown code"))</f>
        <v/>
      </c>
      <c r="D346" s="29"/>
      <c r="E346" s="18" t="str">
        <f>IF(B346="","",IFERROR(INDEX(Items!$C$5:$C$19,MATCH(B346,Items!$A$5:$A$19,0)),""))</f>
        <v/>
      </c>
      <c r="F346" s="18" t="str">
        <f t="shared" si="30"/>
        <v/>
      </c>
      <c r="G346" s="27"/>
      <c r="H346" s="23" t="str">
        <f>IF(OR(A346="",B346="",D346=""),"",IFERROR(INDEX(Items!$D$5:$D$19,MATCH(B346,Items!$A$5:$A$19,0))+SUMIFS(D$4:D345,B$4:B345,B346),""))</f>
        <v/>
      </c>
      <c r="I346" s="23" t="str">
        <f t="shared" si="31"/>
        <v/>
      </c>
      <c r="J346" s="23" t="str">
        <f t="shared" si="32"/>
        <v/>
      </c>
      <c r="K346" s="18" t="str">
        <f t="shared" si="33"/>
        <v/>
      </c>
      <c r="L346" s="16" t="str">
        <f t="shared" ca="1" si="34"/>
        <v/>
      </c>
      <c r="M346" s="25" t="str">
        <f>IF(H346="","",IF(I346&lt;=0,"Shipped",IF(L346&lt;=AGE30,"Fresh",IF(L346&lt;=AGE60,"Watch",IF(L346&lt;=AGE90,"Aging","Old")))))</f>
        <v/>
      </c>
      <c r="N346" s="16" t="str">
        <f t="shared" si="35"/>
        <v/>
      </c>
    </row>
    <row r="347" spans="1:14" x14ac:dyDescent="0.2">
      <c r="A347" s="32"/>
      <c r="B347" s="27"/>
      <c r="C347" s="15" t="str">
        <f>IF(B347="","",IFERROR(INDEX(Items!$B$5:$B$19,MATCH(B347,Items!$A$5:$A$19,0)),"Unknown code"))</f>
        <v/>
      </c>
      <c r="D347" s="29"/>
      <c r="E347" s="18" t="str">
        <f>IF(B347="","",IFERROR(INDEX(Items!$C$5:$C$19,MATCH(B347,Items!$A$5:$A$19,0)),""))</f>
        <v/>
      </c>
      <c r="F347" s="18" t="str">
        <f t="shared" si="30"/>
        <v/>
      </c>
      <c r="G347" s="27"/>
      <c r="H347" s="23" t="str">
        <f>IF(OR(A347="",B347="",D347=""),"",IFERROR(INDEX(Items!$D$5:$D$19,MATCH(B347,Items!$A$5:$A$19,0))+SUMIFS(D$4:D346,B$4:B346,B347),""))</f>
        <v/>
      </c>
      <c r="I347" s="23" t="str">
        <f t="shared" si="31"/>
        <v/>
      </c>
      <c r="J347" s="23" t="str">
        <f t="shared" si="32"/>
        <v/>
      </c>
      <c r="K347" s="18" t="str">
        <f t="shared" si="33"/>
        <v/>
      </c>
      <c r="L347" s="16" t="str">
        <f t="shared" ca="1" si="34"/>
        <v/>
      </c>
      <c r="M347" s="25" t="str">
        <f>IF(H347="","",IF(I347&lt;=0,"Shipped",IF(L347&lt;=AGE30,"Fresh",IF(L347&lt;=AGE60,"Watch",IF(L347&lt;=AGE90,"Aging","Old")))))</f>
        <v/>
      </c>
      <c r="N347" s="16" t="str">
        <f t="shared" si="35"/>
        <v/>
      </c>
    </row>
    <row r="348" spans="1:14" x14ac:dyDescent="0.2">
      <c r="A348" s="32"/>
      <c r="B348" s="27"/>
      <c r="C348" s="15" t="str">
        <f>IF(B348="","",IFERROR(INDEX(Items!$B$5:$B$19,MATCH(B348,Items!$A$5:$A$19,0)),"Unknown code"))</f>
        <v/>
      </c>
      <c r="D348" s="29"/>
      <c r="E348" s="18" t="str">
        <f>IF(B348="","",IFERROR(INDEX(Items!$C$5:$C$19,MATCH(B348,Items!$A$5:$A$19,0)),""))</f>
        <v/>
      </c>
      <c r="F348" s="18" t="str">
        <f t="shared" si="30"/>
        <v/>
      </c>
      <c r="G348" s="27"/>
      <c r="H348" s="23" t="str">
        <f>IF(OR(A348="",B348="",D348=""),"",IFERROR(INDEX(Items!$D$5:$D$19,MATCH(B348,Items!$A$5:$A$19,0))+SUMIFS(D$4:D347,B$4:B347,B348),""))</f>
        <v/>
      </c>
      <c r="I348" s="23" t="str">
        <f t="shared" si="31"/>
        <v/>
      </c>
      <c r="J348" s="23" t="str">
        <f t="shared" si="32"/>
        <v/>
      </c>
      <c r="K348" s="18" t="str">
        <f t="shared" si="33"/>
        <v/>
      </c>
      <c r="L348" s="16" t="str">
        <f t="shared" ca="1" si="34"/>
        <v/>
      </c>
      <c r="M348" s="25" t="str">
        <f>IF(H348="","",IF(I348&lt;=0,"Shipped",IF(L348&lt;=AGE30,"Fresh",IF(L348&lt;=AGE60,"Watch",IF(L348&lt;=AGE90,"Aging","Old")))))</f>
        <v/>
      </c>
      <c r="N348" s="16" t="str">
        <f t="shared" si="35"/>
        <v/>
      </c>
    </row>
    <row r="349" spans="1:14" x14ac:dyDescent="0.2">
      <c r="A349" s="32"/>
      <c r="B349" s="27"/>
      <c r="C349" s="15" t="str">
        <f>IF(B349="","",IFERROR(INDEX(Items!$B$5:$B$19,MATCH(B349,Items!$A$5:$A$19,0)),"Unknown code"))</f>
        <v/>
      </c>
      <c r="D349" s="29"/>
      <c r="E349" s="18" t="str">
        <f>IF(B349="","",IFERROR(INDEX(Items!$C$5:$C$19,MATCH(B349,Items!$A$5:$A$19,0)),""))</f>
        <v/>
      </c>
      <c r="F349" s="18" t="str">
        <f t="shared" si="30"/>
        <v/>
      </c>
      <c r="G349" s="27"/>
      <c r="H349" s="23" t="str">
        <f>IF(OR(A349="",B349="",D349=""),"",IFERROR(INDEX(Items!$D$5:$D$19,MATCH(B349,Items!$A$5:$A$19,0))+SUMIFS(D$4:D348,B$4:B348,B349),""))</f>
        <v/>
      </c>
      <c r="I349" s="23" t="str">
        <f t="shared" si="31"/>
        <v/>
      </c>
      <c r="J349" s="23" t="str">
        <f t="shared" si="32"/>
        <v/>
      </c>
      <c r="K349" s="18" t="str">
        <f t="shared" si="33"/>
        <v/>
      </c>
      <c r="L349" s="16" t="str">
        <f t="shared" ca="1" si="34"/>
        <v/>
      </c>
      <c r="M349" s="25" t="str">
        <f>IF(H349="","",IF(I349&lt;=0,"Shipped",IF(L349&lt;=AGE30,"Fresh",IF(L349&lt;=AGE60,"Watch",IF(L349&lt;=AGE90,"Aging","Old")))))</f>
        <v/>
      </c>
      <c r="N349" s="16" t="str">
        <f t="shared" si="35"/>
        <v/>
      </c>
    </row>
    <row r="350" spans="1:14" x14ac:dyDescent="0.2">
      <c r="A350" s="32"/>
      <c r="B350" s="27"/>
      <c r="C350" s="15" t="str">
        <f>IF(B350="","",IFERROR(INDEX(Items!$B$5:$B$19,MATCH(B350,Items!$A$5:$A$19,0)),"Unknown code"))</f>
        <v/>
      </c>
      <c r="D350" s="29"/>
      <c r="E350" s="18" t="str">
        <f>IF(B350="","",IFERROR(INDEX(Items!$C$5:$C$19,MATCH(B350,Items!$A$5:$A$19,0)),""))</f>
        <v/>
      </c>
      <c r="F350" s="18" t="str">
        <f t="shared" si="30"/>
        <v/>
      </c>
      <c r="G350" s="27"/>
      <c r="H350" s="23" t="str">
        <f>IF(OR(A350="",B350="",D350=""),"",IFERROR(INDEX(Items!$D$5:$D$19,MATCH(B350,Items!$A$5:$A$19,0))+SUMIFS(D$4:D349,B$4:B349,B350),""))</f>
        <v/>
      </c>
      <c r="I350" s="23" t="str">
        <f t="shared" si="31"/>
        <v/>
      </c>
      <c r="J350" s="23" t="str">
        <f t="shared" si="32"/>
        <v/>
      </c>
      <c r="K350" s="18" t="str">
        <f t="shared" si="33"/>
        <v/>
      </c>
      <c r="L350" s="16" t="str">
        <f t="shared" ca="1" si="34"/>
        <v/>
      </c>
      <c r="M350" s="25" t="str">
        <f>IF(H350="","",IF(I350&lt;=0,"Shipped",IF(L350&lt;=AGE30,"Fresh",IF(L350&lt;=AGE60,"Watch",IF(L350&lt;=AGE90,"Aging","Old")))))</f>
        <v/>
      </c>
      <c r="N350" s="16" t="str">
        <f t="shared" si="35"/>
        <v/>
      </c>
    </row>
    <row r="351" spans="1:14" x14ac:dyDescent="0.2">
      <c r="A351" s="32"/>
      <c r="B351" s="27"/>
      <c r="C351" s="15" t="str">
        <f>IF(B351="","",IFERROR(INDEX(Items!$B$5:$B$19,MATCH(B351,Items!$A$5:$A$19,0)),"Unknown code"))</f>
        <v/>
      </c>
      <c r="D351" s="29"/>
      <c r="E351" s="18" t="str">
        <f>IF(B351="","",IFERROR(INDEX(Items!$C$5:$C$19,MATCH(B351,Items!$A$5:$A$19,0)),""))</f>
        <v/>
      </c>
      <c r="F351" s="18" t="str">
        <f t="shared" si="30"/>
        <v/>
      </c>
      <c r="G351" s="27"/>
      <c r="H351" s="23" t="str">
        <f>IF(OR(A351="",B351="",D351=""),"",IFERROR(INDEX(Items!$D$5:$D$19,MATCH(B351,Items!$A$5:$A$19,0))+SUMIFS(D$4:D350,B$4:B350,B351),""))</f>
        <v/>
      </c>
      <c r="I351" s="23" t="str">
        <f t="shared" si="31"/>
        <v/>
      </c>
      <c r="J351" s="23" t="str">
        <f t="shared" si="32"/>
        <v/>
      </c>
      <c r="K351" s="18" t="str">
        <f t="shared" si="33"/>
        <v/>
      </c>
      <c r="L351" s="16" t="str">
        <f t="shared" ca="1" si="34"/>
        <v/>
      </c>
      <c r="M351" s="25" t="str">
        <f>IF(H351="","",IF(I351&lt;=0,"Shipped",IF(L351&lt;=AGE30,"Fresh",IF(L351&lt;=AGE60,"Watch",IF(L351&lt;=AGE90,"Aging","Old")))))</f>
        <v/>
      </c>
      <c r="N351" s="16" t="str">
        <f t="shared" si="35"/>
        <v/>
      </c>
    </row>
    <row r="352" spans="1:14" x14ac:dyDescent="0.2">
      <c r="A352" s="32"/>
      <c r="B352" s="27"/>
      <c r="C352" s="15" t="str">
        <f>IF(B352="","",IFERROR(INDEX(Items!$B$5:$B$19,MATCH(B352,Items!$A$5:$A$19,0)),"Unknown code"))</f>
        <v/>
      </c>
      <c r="D352" s="29"/>
      <c r="E352" s="18" t="str">
        <f>IF(B352="","",IFERROR(INDEX(Items!$C$5:$C$19,MATCH(B352,Items!$A$5:$A$19,0)),""))</f>
        <v/>
      </c>
      <c r="F352" s="18" t="str">
        <f t="shared" si="30"/>
        <v/>
      </c>
      <c r="G352" s="27"/>
      <c r="H352" s="23" t="str">
        <f>IF(OR(A352="",B352="",D352=""),"",IFERROR(INDEX(Items!$D$5:$D$19,MATCH(B352,Items!$A$5:$A$19,0))+SUMIFS(D$4:D351,B$4:B351,B352),""))</f>
        <v/>
      </c>
      <c r="I352" s="23" t="str">
        <f t="shared" si="31"/>
        <v/>
      </c>
      <c r="J352" s="23" t="str">
        <f t="shared" si="32"/>
        <v/>
      </c>
      <c r="K352" s="18" t="str">
        <f t="shared" si="33"/>
        <v/>
      </c>
      <c r="L352" s="16" t="str">
        <f t="shared" ca="1" si="34"/>
        <v/>
      </c>
      <c r="M352" s="25" t="str">
        <f>IF(H352="","",IF(I352&lt;=0,"Shipped",IF(L352&lt;=AGE30,"Fresh",IF(L352&lt;=AGE60,"Watch",IF(L352&lt;=AGE90,"Aging","Old")))))</f>
        <v/>
      </c>
      <c r="N352" s="16" t="str">
        <f t="shared" si="35"/>
        <v/>
      </c>
    </row>
    <row r="353" spans="1:14" x14ac:dyDescent="0.2">
      <c r="A353" s="32"/>
      <c r="B353" s="27"/>
      <c r="C353" s="15" t="str">
        <f>IF(B353="","",IFERROR(INDEX(Items!$B$5:$B$19,MATCH(B353,Items!$A$5:$A$19,0)),"Unknown code"))</f>
        <v/>
      </c>
      <c r="D353" s="29"/>
      <c r="E353" s="18" t="str">
        <f>IF(B353="","",IFERROR(INDEX(Items!$C$5:$C$19,MATCH(B353,Items!$A$5:$A$19,0)),""))</f>
        <v/>
      </c>
      <c r="F353" s="18" t="str">
        <f t="shared" si="30"/>
        <v/>
      </c>
      <c r="G353" s="27"/>
      <c r="H353" s="23" t="str">
        <f>IF(OR(A353="",B353="",D353=""),"",IFERROR(INDEX(Items!$D$5:$D$19,MATCH(B353,Items!$A$5:$A$19,0))+SUMIFS(D$4:D352,B$4:B352,B353),""))</f>
        <v/>
      </c>
      <c r="I353" s="23" t="str">
        <f t="shared" si="31"/>
        <v/>
      </c>
      <c r="J353" s="23" t="str">
        <f t="shared" si="32"/>
        <v/>
      </c>
      <c r="K353" s="18" t="str">
        <f t="shared" si="33"/>
        <v/>
      </c>
      <c r="L353" s="16" t="str">
        <f t="shared" ca="1" si="34"/>
        <v/>
      </c>
      <c r="M353" s="25" t="str">
        <f>IF(H353="","",IF(I353&lt;=0,"Shipped",IF(L353&lt;=AGE30,"Fresh",IF(L353&lt;=AGE60,"Watch",IF(L353&lt;=AGE90,"Aging","Old")))))</f>
        <v/>
      </c>
      <c r="N353" s="16" t="str">
        <f t="shared" si="35"/>
        <v/>
      </c>
    </row>
    <row r="354" spans="1:14" x14ac:dyDescent="0.2">
      <c r="A354" s="32"/>
      <c r="B354" s="27"/>
      <c r="C354" s="15" t="str">
        <f>IF(B354="","",IFERROR(INDEX(Items!$B$5:$B$19,MATCH(B354,Items!$A$5:$A$19,0)),"Unknown code"))</f>
        <v/>
      </c>
      <c r="D354" s="29"/>
      <c r="E354" s="18" t="str">
        <f>IF(B354="","",IFERROR(INDEX(Items!$C$5:$C$19,MATCH(B354,Items!$A$5:$A$19,0)),""))</f>
        <v/>
      </c>
      <c r="F354" s="18" t="str">
        <f t="shared" si="30"/>
        <v/>
      </c>
      <c r="G354" s="27"/>
      <c r="H354" s="23" t="str">
        <f>IF(OR(A354="",B354="",D354=""),"",IFERROR(INDEX(Items!$D$5:$D$19,MATCH(B354,Items!$A$5:$A$19,0))+SUMIFS(D$4:D353,B$4:B353,B354),""))</f>
        <v/>
      </c>
      <c r="I354" s="23" t="str">
        <f t="shared" si="31"/>
        <v/>
      </c>
      <c r="J354" s="23" t="str">
        <f t="shared" si="32"/>
        <v/>
      </c>
      <c r="K354" s="18" t="str">
        <f t="shared" si="33"/>
        <v/>
      </c>
      <c r="L354" s="16" t="str">
        <f t="shared" ca="1" si="34"/>
        <v/>
      </c>
      <c r="M354" s="25" t="str">
        <f>IF(H354="","",IF(I354&lt;=0,"Shipped",IF(L354&lt;=AGE30,"Fresh",IF(L354&lt;=AGE60,"Watch",IF(L354&lt;=AGE90,"Aging","Old")))))</f>
        <v/>
      </c>
      <c r="N354" s="16" t="str">
        <f t="shared" si="35"/>
        <v/>
      </c>
    </row>
    <row r="355" spans="1:14" x14ac:dyDescent="0.2">
      <c r="A355" s="32"/>
      <c r="B355" s="27"/>
      <c r="C355" s="15" t="str">
        <f>IF(B355="","",IFERROR(INDEX(Items!$B$5:$B$19,MATCH(B355,Items!$A$5:$A$19,0)),"Unknown code"))</f>
        <v/>
      </c>
      <c r="D355" s="29"/>
      <c r="E355" s="18" t="str">
        <f>IF(B355="","",IFERROR(INDEX(Items!$C$5:$C$19,MATCH(B355,Items!$A$5:$A$19,0)),""))</f>
        <v/>
      </c>
      <c r="F355" s="18" t="str">
        <f t="shared" si="30"/>
        <v/>
      </c>
      <c r="G355" s="27"/>
      <c r="H355" s="23" t="str">
        <f>IF(OR(A355="",B355="",D355=""),"",IFERROR(INDEX(Items!$D$5:$D$19,MATCH(B355,Items!$A$5:$A$19,0))+SUMIFS(D$4:D354,B$4:B354,B355),""))</f>
        <v/>
      </c>
      <c r="I355" s="23" t="str">
        <f t="shared" si="31"/>
        <v/>
      </c>
      <c r="J355" s="23" t="str">
        <f t="shared" si="32"/>
        <v/>
      </c>
      <c r="K355" s="18" t="str">
        <f t="shared" si="33"/>
        <v/>
      </c>
      <c r="L355" s="16" t="str">
        <f t="shared" ca="1" si="34"/>
        <v/>
      </c>
      <c r="M355" s="25" t="str">
        <f>IF(H355="","",IF(I355&lt;=0,"Shipped",IF(L355&lt;=AGE30,"Fresh",IF(L355&lt;=AGE60,"Watch",IF(L355&lt;=AGE90,"Aging","Old")))))</f>
        <v/>
      </c>
      <c r="N355" s="16" t="str">
        <f t="shared" si="35"/>
        <v/>
      </c>
    </row>
    <row r="356" spans="1:14" x14ac:dyDescent="0.2">
      <c r="A356" s="32"/>
      <c r="B356" s="27"/>
      <c r="C356" s="15" t="str">
        <f>IF(B356="","",IFERROR(INDEX(Items!$B$5:$B$19,MATCH(B356,Items!$A$5:$A$19,0)),"Unknown code"))</f>
        <v/>
      </c>
      <c r="D356" s="29"/>
      <c r="E356" s="18" t="str">
        <f>IF(B356="","",IFERROR(INDEX(Items!$C$5:$C$19,MATCH(B356,Items!$A$5:$A$19,0)),""))</f>
        <v/>
      </c>
      <c r="F356" s="18" t="str">
        <f t="shared" si="30"/>
        <v/>
      </c>
      <c r="G356" s="27"/>
      <c r="H356" s="23" t="str">
        <f>IF(OR(A356="",B356="",D356=""),"",IFERROR(INDEX(Items!$D$5:$D$19,MATCH(B356,Items!$A$5:$A$19,0))+SUMIFS(D$4:D355,B$4:B355,B356),""))</f>
        <v/>
      </c>
      <c r="I356" s="23" t="str">
        <f t="shared" si="31"/>
        <v/>
      </c>
      <c r="J356" s="23" t="str">
        <f t="shared" si="32"/>
        <v/>
      </c>
      <c r="K356" s="18" t="str">
        <f t="shared" si="33"/>
        <v/>
      </c>
      <c r="L356" s="16" t="str">
        <f t="shared" ca="1" si="34"/>
        <v/>
      </c>
      <c r="M356" s="25" t="str">
        <f>IF(H356="","",IF(I356&lt;=0,"Shipped",IF(L356&lt;=AGE30,"Fresh",IF(L356&lt;=AGE60,"Watch",IF(L356&lt;=AGE90,"Aging","Old")))))</f>
        <v/>
      </c>
      <c r="N356" s="16" t="str">
        <f t="shared" si="35"/>
        <v/>
      </c>
    </row>
    <row r="357" spans="1:14" x14ac:dyDescent="0.2">
      <c r="A357" s="32"/>
      <c r="B357" s="27"/>
      <c r="C357" s="15" t="str">
        <f>IF(B357="","",IFERROR(INDEX(Items!$B$5:$B$19,MATCH(B357,Items!$A$5:$A$19,0)),"Unknown code"))</f>
        <v/>
      </c>
      <c r="D357" s="29"/>
      <c r="E357" s="18" t="str">
        <f>IF(B357="","",IFERROR(INDEX(Items!$C$5:$C$19,MATCH(B357,Items!$A$5:$A$19,0)),""))</f>
        <v/>
      </c>
      <c r="F357" s="18" t="str">
        <f t="shared" si="30"/>
        <v/>
      </c>
      <c r="G357" s="27"/>
      <c r="H357" s="23" t="str">
        <f>IF(OR(A357="",B357="",D357=""),"",IFERROR(INDEX(Items!$D$5:$D$19,MATCH(B357,Items!$A$5:$A$19,0))+SUMIFS(D$4:D356,B$4:B356,B357),""))</f>
        <v/>
      </c>
      <c r="I357" s="23" t="str">
        <f t="shared" si="31"/>
        <v/>
      </c>
      <c r="J357" s="23" t="str">
        <f t="shared" si="32"/>
        <v/>
      </c>
      <c r="K357" s="18" t="str">
        <f t="shared" si="33"/>
        <v/>
      </c>
      <c r="L357" s="16" t="str">
        <f t="shared" ca="1" si="34"/>
        <v/>
      </c>
      <c r="M357" s="25" t="str">
        <f>IF(H357="","",IF(I357&lt;=0,"Shipped",IF(L357&lt;=AGE30,"Fresh",IF(L357&lt;=AGE60,"Watch",IF(L357&lt;=AGE90,"Aging","Old")))))</f>
        <v/>
      </c>
      <c r="N357" s="16" t="str">
        <f t="shared" si="35"/>
        <v/>
      </c>
    </row>
    <row r="358" spans="1:14" x14ac:dyDescent="0.2">
      <c r="A358" s="32"/>
      <c r="B358" s="27"/>
      <c r="C358" s="15" t="str">
        <f>IF(B358="","",IFERROR(INDEX(Items!$B$5:$B$19,MATCH(B358,Items!$A$5:$A$19,0)),"Unknown code"))</f>
        <v/>
      </c>
      <c r="D358" s="29"/>
      <c r="E358" s="18" t="str">
        <f>IF(B358="","",IFERROR(INDEX(Items!$C$5:$C$19,MATCH(B358,Items!$A$5:$A$19,0)),""))</f>
        <v/>
      </c>
      <c r="F358" s="18" t="str">
        <f t="shared" si="30"/>
        <v/>
      </c>
      <c r="G358" s="27"/>
      <c r="H358" s="23" t="str">
        <f>IF(OR(A358="",B358="",D358=""),"",IFERROR(INDEX(Items!$D$5:$D$19,MATCH(B358,Items!$A$5:$A$19,0))+SUMIFS(D$4:D357,B$4:B357,B358),""))</f>
        <v/>
      </c>
      <c r="I358" s="23" t="str">
        <f t="shared" si="31"/>
        <v/>
      </c>
      <c r="J358" s="23" t="str">
        <f t="shared" si="32"/>
        <v/>
      </c>
      <c r="K358" s="18" t="str">
        <f t="shared" si="33"/>
        <v/>
      </c>
      <c r="L358" s="16" t="str">
        <f t="shared" ca="1" si="34"/>
        <v/>
      </c>
      <c r="M358" s="25" t="str">
        <f>IF(H358="","",IF(I358&lt;=0,"Shipped",IF(L358&lt;=AGE30,"Fresh",IF(L358&lt;=AGE60,"Watch",IF(L358&lt;=AGE90,"Aging","Old")))))</f>
        <v/>
      </c>
      <c r="N358" s="16" t="str">
        <f t="shared" si="35"/>
        <v/>
      </c>
    </row>
    <row r="359" spans="1:14" x14ac:dyDescent="0.2">
      <c r="A359" s="32"/>
      <c r="B359" s="27"/>
      <c r="C359" s="15" t="str">
        <f>IF(B359="","",IFERROR(INDEX(Items!$B$5:$B$19,MATCH(B359,Items!$A$5:$A$19,0)),"Unknown code"))</f>
        <v/>
      </c>
      <c r="D359" s="29"/>
      <c r="E359" s="18" t="str">
        <f>IF(B359="","",IFERROR(INDEX(Items!$C$5:$C$19,MATCH(B359,Items!$A$5:$A$19,0)),""))</f>
        <v/>
      </c>
      <c r="F359" s="18" t="str">
        <f t="shared" si="30"/>
        <v/>
      </c>
      <c r="G359" s="27"/>
      <c r="H359" s="23" t="str">
        <f>IF(OR(A359="",B359="",D359=""),"",IFERROR(INDEX(Items!$D$5:$D$19,MATCH(B359,Items!$A$5:$A$19,0))+SUMIFS(D$4:D358,B$4:B358,B359),""))</f>
        <v/>
      </c>
      <c r="I359" s="23" t="str">
        <f t="shared" si="31"/>
        <v/>
      </c>
      <c r="J359" s="23" t="str">
        <f t="shared" si="32"/>
        <v/>
      </c>
      <c r="K359" s="18" t="str">
        <f t="shared" si="33"/>
        <v/>
      </c>
      <c r="L359" s="16" t="str">
        <f t="shared" ca="1" si="34"/>
        <v/>
      </c>
      <c r="M359" s="25" t="str">
        <f>IF(H359="","",IF(I359&lt;=0,"Shipped",IF(L359&lt;=AGE30,"Fresh",IF(L359&lt;=AGE60,"Watch",IF(L359&lt;=AGE90,"Aging","Old")))))</f>
        <v/>
      </c>
      <c r="N359" s="16" t="str">
        <f t="shared" si="35"/>
        <v/>
      </c>
    </row>
    <row r="360" spans="1:14" x14ac:dyDescent="0.2">
      <c r="A360" s="32"/>
      <c r="B360" s="27"/>
      <c r="C360" s="15" t="str">
        <f>IF(B360="","",IFERROR(INDEX(Items!$B$5:$B$19,MATCH(B360,Items!$A$5:$A$19,0)),"Unknown code"))</f>
        <v/>
      </c>
      <c r="D360" s="29"/>
      <c r="E360" s="18" t="str">
        <f>IF(B360="","",IFERROR(INDEX(Items!$C$5:$C$19,MATCH(B360,Items!$A$5:$A$19,0)),""))</f>
        <v/>
      </c>
      <c r="F360" s="18" t="str">
        <f t="shared" si="30"/>
        <v/>
      </c>
      <c r="G360" s="27"/>
      <c r="H360" s="23" t="str">
        <f>IF(OR(A360="",B360="",D360=""),"",IFERROR(INDEX(Items!$D$5:$D$19,MATCH(B360,Items!$A$5:$A$19,0))+SUMIFS(D$4:D359,B$4:B359,B360),""))</f>
        <v/>
      </c>
      <c r="I360" s="23" t="str">
        <f t="shared" si="31"/>
        <v/>
      </c>
      <c r="J360" s="23" t="str">
        <f t="shared" si="32"/>
        <v/>
      </c>
      <c r="K360" s="18" t="str">
        <f t="shared" si="33"/>
        <v/>
      </c>
      <c r="L360" s="16" t="str">
        <f t="shared" ca="1" si="34"/>
        <v/>
      </c>
      <c r="M360" s="25" t="str">
        <f>IF(H360="","",IF(I360&lt;=0,"Shipped",IF(L360&lt;=AGE30,"Fresh",IF(L360&lt;=AGE60,"Watch",IF(L360&lt;=AGE90,"Aging","Old")))))</f>
        <v/>
      </c>
      <c r="N360" s="16" t="str">
        <f t="shared" si="35"/>
        <v/>
      </c>
    </row>
    <row r="361" spans="1:14" x14ac:dyDescent="0.2">
      <c r="A361" s="32"/>
      <c r="B361" s="27"/>
      <c r="C361" s="15" t="str">
        <f>IF(B361="","",IFERROR(INDEX(Items!$B$5:$B$19,MATCH(B361,Items!$A$5:$A$19,0)),"Unknown code"))</f>
        <v/>
      </c>
      <c r="D361" s="29"/>
      <c r="E361" s="18" t="str">
        <f>IF(B361="","",IFERROR(INDEX(Items!$C$5:$C$19,MATCH(B361,Items!$A$5:$A$19,0)),""))</f>
        <v/>
      </c>
      <c r="F361" s="18" t="str">
        <f t="shared" si="30"/>
        <v/>
      </c>
      <c r="G361" s="27"/>
      <c r="H361" s="23" t="str">
        <f>IF(OR(A361="",B361="",D361=""),"",IFERROR(INDEX(Items!$D$5:$D$19,MATCH(B361,Items!$A$5:$A$19,0))+SUMIFS(D$4:D360,B$4:B360,B361),""))</f>
        <v/>
      </c>
      <c r="I361" s="23" t="str">
        <f t="shared" si="31"/>
        <v/>
      </c>
      <c r="J361" s="23" t="str">
        <f t="shared" si="32"/>
        <v/>
      </c>
      <c r="K361" s="18" t="str">
        <f t="shared" si="33"/>
        <v/>
      </c>
      <c r="L361" s="16" t="str">
        <f t="shared" ca="1" si="34"/>
        <v/>
      </c>
      <c r="M361" s="25" t="str">
        <f>IF(H361="","",IF(I361&lt;=0,"Shipped",IF(L361&lt;=AGE30,"Fresh",IF(L361&lt;=AGE60,"Watch",IF(L361&lt;=AGE90,"Aging","Old")))))</f>
        <v/>
      </c>
      <c r="N361" s="16" t="str">
        <f t="shared" si="35"/>
        <v/>
      </c>
    </row>
    <row r="362" spans="1:14" x14ac:dyDescent="0.2">
      <c r="A362" s="32"/>
      <c r="B362" s="27"/>
      <c r="C362" s="15" t="str">
        <f>IF(B362="","",IFERROR(INDEX(Items!$B$5:$B$19,MATCH(B362,Items!$A$5:$A$19,0)),"Unknown code"))</f>
        <v/>
      </c>
      <c r="D362" s="29"/>
      <c r="E362" s="18" t="str">
        <f>IF(B362="","",IFERROR(INDEX(Items!$C$5:$C$19,MATCH(B362,Items!$A$5:$A$19,0)),""))</f>
        <v/>
      </c>
      <c r="F362" s="18" t="str">
        <f t="shared" si="30"/>
        <v/>
      </c>
      <c r="G362" s="27"/>
      <c r="H362" s="23" t="str">
        <f>IF(OR(A362="",B362="",D362=""),"",IFERROR(INDEX(Items!$D$5:$D$19,MATCH(B362,Items!$A$5:$A$19,0))+SUMIFS(D$4:D361,B$4:B361,B362),""))</f>
        <v/>
      </c>
      <c r="I362" s="23" t="str">
        <f t="shared" si="31"/>
        <v/>
      </c>
      <c r="J362" s="23" t="str">
        <f t="shared" si="32"/>
        <v/>
      </c>
      <c r="K362" s="18" t="str">
        <f t="shared" si="33"/>
        <v/>
      </c>
      <c r="L362" s="16" t="str">
        <f t="shared" ca="1" si="34"/>
        <v/>
      </c>
      <c r="M362" s="25" t="str">
        <f>IF(H362="","",IF(I362&lt;=0,"Shipped",IF(L362&lt;=AGE30,"Fresh",IF(L362&lt;=AGE60,"Watch",IF(L362&lt;=AGE90,"Aging","Old")))))</f>
        <v/>
      </c>
      <c r="N362" s="16" t="str">
        <f t="shared" si="35"/>
        <v/>
      </c>
    </row>
    <row r="363" spans="1:14" x14ac:dyDescent="0.2">
      <c r="A363" s="32"/>
      <c r="B363" s="27"/>
      <c r="C363" s="15" t="str">
        <f>IF(B363="","",IFERROR(INDEX(Items!$B$5:$B$19,MATCH(B363,Items!$A$5:$A$19,0)),"Unknown code"))</f>
        <v/>
      </c>
      <c r="D363" s="29"/>
      <c r="E363" s="18" t="str">
        <f>IF(B363="","",IFERROR(INDEX(Items!$C$5:$C$19,MATCH(B363,Items!$A$5:$A$19,0)),""))</f>
        <v/>
      </c>
      <c r="F363" s="18" t="str">
        <f t="shared" si="30"/>
        <v/>
      </c>
      <c r="G363" s="27"/>
      <c r="H363" s="23" t="str">
        <f>IF(OR(A363="",B363="",D363=""),"",IFERROR(INDEX(Items!$D$5:$D$19,MATCH(B363,Items!$A$5:$A$19,0))+SUMIFS(D$4:D362,B$4:B362,B363),""))</f>
        <v/>
      </c>
      <c r="I363" s="23" t="str">
        <f t="shared" si="31"/>
        <v/>
      </c>
      <c r="J363" s="23" t="str">
        <f t="shared" si="32"/>
        <v/>
      </c>
      <c r="K363" s="18" t="str">
        <f t="shared" si="33"/>
        <v/>
      </c>
      <c r="L363" s="16" t="str">
        <f t="shared" ca="1" si="34"/>
        <v/>
      </c>
      <c r="M363" s="25" t="str">
        <f>IF(H363="","",IF(I363&lt;=0,"Shipped",IF(L363&lt;=AGE30,"Fresh",IF(L363&lt;=AGE60,"Watch",IF(L363&lt;=AGE90,"Aging","Old")))))</f>
        <v/>
      </c>
      <c r="N363" s="16" t="str">
        <f t="shared" si="35"/>
        <v/>
      </c>
    </row>
    <row r="364" spans="1:14" x14ac:dyDescent="0.2">
      <c r="A364" s="32"/>
      <c r="B364" s="27"/>
      <c r="C364" s="15" t="str">
        <f>IF(B364="","",IFERROR(INDEX(Items!$B$5:$B$19,MATCH(B364,Items!$A$5:$A$19,0)),"Unknown code"))</f>
        <v/>
      </c>
      <c r="D364" s="29"/>
      <c r="E364" s="18" t="str">
        <f>IF(B364="","",IFERROR(INDEX(Items!$C$5:$C$19,MATCH(B364,Items!$A$5:$A$19,0)),""))</f>
        <v/>
      </c>
      <c r="F364" s="18" t="str">
        <f t="shared" si="30"/>
        <v/>
      </c>
      <c r="G364" s="27"/>
      <c r="H364" s="23" t="str">
        <f>IF(OR(A364="",B364="",D364=""),"",IFERROR(INDEX(Items!$D$5:$D$19,MATCH(B364,Items!$A$5:$A$19,0))+SUMIFS(D$4:D363,B$4:B363,B364),""))</f>
        <v/>
      </c>
      <c r="I364" s="23" t="str">
        <f t="shared" si="31"/>
        <v/>
      </c>
      <c r="J364" s="23" t="str">
        <f t="shared" si="32"/>
        <v/>
      </c>
      <c r="K364" s="18" t="str">
        <f t="shared" si="33"/>
        <v/>
      </c>
      <c r="L364" s="16" t="str">
        <f t="shared" ca="1" si="34"/>
        <v/>
      </c>
      <c r="M364" s="25" t="str">
        <f>IF(H364="","",IF(I364&lt;=0,"Shipped",IF(L364&lt;=AGE30,"Fresh",IF(L364&lt;=AGE60,"Watch",IF(L364&lt;=AGE90,"Aging","Old")))))</f>
        <v/>
      </c>
      <c r="N364" s="16" t="str">
        <f t="shared" si="35"/>
        <v/>
      </c>
    </row>
    <row r="365" spans="1:14" x14ac:dyDescent="0.2">
      <c r="A365" s="32"/>
      <c r="B365" s="27"/>
      <c r="C365" s="15" t="str">
        <f>IF(B365="","",IFERROR(INDEX(Items!$B$5:$B$19,MATCH(B365,Items!$A$5:$A$19,0)),"Unknown code"))</f>
        <v/>
      </c>
      <c r="D365" s="29"/>
      <c r="E365" s="18" t="str">
        <f>IF(B365="","",IFERROR(INDEX(Items!$C$5:$C$19,MATCH(B365,Items!$A$5:$A$19,0)),""))</f>
        <v/>
      </c>
      <c r="F365" s="18" t="str">
        <f t="shared" si="30"/>
        <v/>
      </c>
      <c r="G365" s="27"/>
      <c r="H365" s="23" t="str">
        <f>IF(OR(A365="",B365="",D365=""),"",IFERROR(INDEX(Items!$D$5:$D$19,MATCH(B365,Items!$A$5:$A$19,0))+SUMIFS(D$4:D364,B$4:B364,B365),""))</f>
        <v/>
      </c>
      <c r="I365" s="23" t="str">
        <f t="shared" si="31"/>
        <v/>
      </c>
      <c r="J365" s="23" t="str">
        <f t="shared" si="32"/>
        <v/>
      </c>
      <c r="K365" s="18" t="str">
        <f t="shared" si="33"/>
        <v/>
      </c>
      <c r="L365" s="16" t="str">
        <f t="shared" ca="1" si="34"/>
        <v/>
      </c>
      <c r="M365" s="25" t="str">
        <f>IF(H365="","",IF(I365&lt;=0,"Shipped",IF(L365&lt;=AGE30,"Fresh",IF(L365&lt;=AGE60,"Watch",IF(L365&lt;=AGE90,"Aging","Old")))))</f>
        <v/>
      </c>
      <c r="N365" s="16" t="str">
        <f t="shared" si="35"/>
        <v/>
      </c>
    </row>
    <row r="366" spans="1:14" x14ac:dyDescent="0.2">
      <c r="A366" s="32"/>
      <c r="B366" s="27"/>
      <c r="C366" s="15" t="str">
        <f>IF(B366="","",IFERROR(INDEX(Items!$B$5:$B$19,MATCH(B366,Items!$A$5:$A$19,0)),"Unknown code"))</f>
        <v/>
      </c>
      <c r="D366" s="29"/>
      <c r="E366" s="18" t="str">
        <f>IF(B366="","",IFERROR(INDEX(Items!$C$5:$C$19,MATCH(B366,Items!$A$5:$A$19,0)),""))</f>
        <v/>
      </c>
      <c r="F366" s="18" t="str">
        <f t="shared" si="30"/>
        <v/>
      </c>
      <c r="G366" s="27"/>
      <c r="H366" s="23" t="str">
        <f>IF(OR(A366="",B366="",D366=""),"",IFERROR(INDEX(Items!$D$5:$D$19,MATCH(B366,Items!$A$5:$A$19,0))+SUMIFS(D$4:D365,B$4:B365,B366),""))</f>
        <v/>
      </c>
      <c r="I366" s="23" t="str">
        <f t="shared" si="31"/>
        <v/>
      </c>
      <c r="J366" s="23" t="str">
        <f t="shared" si="32"/>
        <v/>
      </c>
      <c r="K366" s="18" t="str">
        <f t="shared" si="33"/>
        <v/>
      </c>
      <c r="L366" s="16" t="str">
        <f t="shared" ca="1" si="34"/>
        <v/>
      </c>
      <c r="M366" s="25" t="str">
        <f>IF(H366="","",IF(I366&lt;=0,"Shipped",IF(L366&lt;=AGE30,"Fresh",IF(L366&lt;=AGE60,"Watch",IF(L366&lt;=AGE90,"Aging","Old")))))</f>
        <v/>
      </c>
      <c r="N366" s="16" t="str">
        <f t="shared" si="35"/>
        <v/>
      </c>
    </row>
    <row r="367" spans="1:14" x14ac:dyDescent="0.2">
      <c r="A367" s="32"/>
      <c r="B367" s="27"/>
      <c r="C367" s="15" t="str">
        <f>IF(B367="","",IFERROR(INDEX(Items!$B$5:$B$19,MATCH(B367,Items!$A$5:$A$19,0)),"Unknown code"))</f>
        <v/>
      </c>
      <c r="D367" s="29"/>
      <c r="E367" s="18" t="str">
        <f>IF(B367="","",IFERROR(INDEX(Items!$C$5:$C$19,MATCH(B367,Items!$A$5:$A$19,0)),""))</f>
        <v/>
      </c>
      <c r="F367" s="18" t="str">
        <f t="shared" si="30"/>
        <v/>
      </c>
      <c r="G367" s="27"/>
      <c r="H367" s="23" t="str">
        <f>IF(OR(A367="",B367="",D367=""),"",IFERROR(INDEX(Items!$D$5:$D$19,MATCH(B367,Items!$A$5:$A$19,0))+SUMIFS(D$4:D366,B$4:B366,B367),""))</f>
        <v/>
      </c>
      <c r="I367" s="23" t="str">
        <f t="shared" si="31"/>
        <v/>
      </c>
      <c r="J367" s="23" t="str">
        <f t="shared" si="32"/>
        <v/>
      </c>
      <c r="K367" s="18" t="str">
        <f t="shared" si="33"/>
        <v/>
      </c>
      <c r="L367" s="16" t="str">
        <f t="shared" ca="1" si="34"/>
        <v/>
      </c>
      <c r="M367" s="25" t="str">
        <f>IF(H367="","",IF(I367&lt;=0,"Shipped",IF(L367&lt;=AGE30,"Fresh",IF(L367&lt;=AGE60,"Watch",IF(L367&lt;=AGE90,"Aging","Old")))))</f>
        <v/>
      </c>
      <c r="N367" s="16" t="str">
        <f t="shared" si="35"/>
        <v/>
      </c>
    </row>
    <row r="368" spans="1:14" x14ac:dyDescent="0.2">
      <c r="A368" s="32"/>
      <c r="B368" s="27"/>
      <c r="C368" s="15" t="str">
        <f>IF(B368="","",IFERROR(INDEX(Items!$B$5:$B$19,MATCH(B368,Items!$A$5:$A$19,0)),"Unknown code"))</f>
        <v/>
      </c>
      <c r="D368" s="29"/>
      <c r="E368" s="18" t="str">
        <f>IF(B368="","",IFERROR(INDEX(Items!$C$5:$C$19,MATCH(B368,Items!$A$5:$A$19,0)),""))</f>
        <v/>
      </c>
      <c r="F368" s="18" t="str">
        <f t="shared" si="30"/>
        <v/>
      </c>
      <c r="G368" s="27"/>
      <c r="H368" s="23" t="str">
        <f>IF(OR(A368="",B368="",D368=""),"",IFERROR(INDEX(Items!$D$5:$D$19,MATCH(B368,Items!$A$5:$A$19,0))+SUMIFS(D$4:D367,B$4:B367,B368),""))</f>
        <v/>
      </c>
      <c r="I368" s="23" t="str">
        <f t="shared" si="31"/>
        <v/>
      </c>
      <c r="J368" s="23" t="str">
        <f t="shared" si="32"/>
        <v/>
      </c>
      <c r="K368" s="18" t="str">
        <f t="shared" si="33"/>
        <v/>
      </c>
      <c r="L368" s="16" t="str">
        <f t="shared" ca="1" si="34"/>
        <v/>
      </c>
      <c r="M368" s="25" t="str">
        <f>IF(H368="","",IF(I368&lt;=0,"Shipped",IF(L368&lt;=AGE30,"Fresh",IF(L368&lt;=AGE60,"Watch",IF(L368&lt;=AGE90,"Aging","Old")))))</f>
        <v/>
      </c>
      <c r="N368" s="16" t="str">
        <f t="shared" si="35"/>
        <v/>
      </c>
    </row>
    <row r="369" spans="1:14" x14ac:dyDescent="0.2">
      <c r="A369" s="32"/>
      <c r="B369" s="27"/>
      <c r="C369" s="15" t="str">
        <f>IF(B369="","",IFERROR(INDEX(Items!$B$5:$B$19,MATCH(B369,Items!$A$5:$A$19,0)),"Unknown code"))</f>
        <v/>
      </c>
      <c r="D369" s="29"/>
      <c r="E369" s="18" t="str">
        <f>IF(B369="","",IFERROR(INDEX(Items!$C$5:$C$19,MATCH(B369,Items!$A$5:$A$19,0)),""))</f>
        <v/>
      </c>
      <c r="F369" s="18" t="str">
        <f t="shared" si="30"/>
        <v/>
      </c>
      <c r="G369" s="27"/>
      <c r="H369" s="23" t="str">
        <f>IF(OR(A369="",B369="",D369=""),"",IFERROR(INDEX(Items!$D$5:$D$19,MATCH(B369,Items!$A$5:$A$19,0))+SUMIFS(D$4:D368,B$4:B368,B369),""))</f>
        <v/>
      </c>
      <c r="I369" s="23" t="str">
        <f t="shared" si="31"/>
        <v/>
      </c>
      <c r="J369" s="23" t="str">
        <f t="shared" si="32"/>
        <v/>
      </c>
      <c r="K369" s="18" t="str">
        <f t="shared" si="33"/>
        <v/>
      </c>
      <c r="L369" s="16" t="str">
        <f t="shared" ca="1" si="34"/>
        <v/>
      </c>
      <c r="M369" s="25" t="str">
        <f>IF(H369="","",IF(I369&lt;=0,"Shipped",IF(L369&lt;=AGE30,"Fresh",IF(L369&lt;=AGE60,"Watch",IF(L369&lt;=AGE90,"Aging","Old")))))</f>
        <v/>
      </c>
      <c r="N369" s="16" t="str">
        <f t="shared" si="35"/>
        <v/>
      </c>
    </row>
    <row r="370" spans="1:14" x14ac:dyDescent="0.2">
      <c r="A370" s="32"/>
      <c r="B370" s="27"/>
      <c r="C370" s="15" t="str">
        <f>IF(B370="","",IFERROR(INDEX(Items!$B$5:$B$19,MATCH(B370,Items!$A$5:$A$19,0)),"Unknown code"))</f>
        <v/>
      </c>
      <c r="D370" s="29"/>
      <c r="E370" s="18" t="str">
        <f>IF(B370="","",IFERROR(INDEX(Items!$C$5:$C$19,MATCH(B370,Items!$A$5:$A$19,0)),""))</f>
        <v/>
      </c>
      <c r="F370" s="18" t="str">
        <f t="shared" si="30"/>
        <v/>
      </c>
      <c r="G370" s="27"/>
      <c r="H370" s="23" t="str">
        <f>IF(OR(A370="",B370="",D370=""),"",IFERROR(INDEX(Items!$D$5:$D$19,MATCH(B370,Items!$A$5:$A$19,0))+SUMIFS(D$4:D369,B$4:B369,B370),""))</f>
        <v/>
      </c>
      <c r="I370" s="23" t="str">
        <f t="shared" si="31"/>
        <v/>
      </c>
      <c r="J370" s="23" t="str">
        <f t="shared" si="32"/>
        <v/>
      </c>
      <c r="K370" s="18" t="str">
        <f t="shared" si="33"/>
        <v/>
      </c>
      <c r="L370" s="16" t="str">
        <f t="shared" ca="1" si="34"/>
        <v/>
      </c>
      <c r="M370" s="25" t="str">
        <f>IF(H370="","",IF(I370&lt;=0,"Shipped",IF(L370&lt;=AGE30,"Fresh",IF(L370&lt;=AGE60,"Watch",IF(L370&lt;=AGE90,"Aging","Old")))))</f>
        <v/>
      </c>
      <c r="N370" s="16" t="str">
        <f t="shared" si="35"/>
        <v/>
      </c>
    </row>
    <row r="371" spans="1:14" x14ac:dyDescent="0.2">
      <c r="A371" s="32"/>
      <c r="B371" s="27"/>
      <c r="C371" s="15" t="str">
        <f>IF(B371="","",IFERROR(INDEX(Items!$B$5:$B$19,MATCH(B371,Items!$A$5:$A$19,0)),"Unknown code"))</f>
        <v/>
      </c>
      <c r="D371" s="29"/>
      <c r="E371" s="18" t="str">
        <f>IF(B371="","",IFERROR(INDEX(Items!$C$5:$C$19,MATCH(B371,Items!$A$5:$A$19,0)),""))</f>
        <v/>
      </c>
      <c r="F371" s="18" t="str">
        <f t="shared" si="30"/>
        <v/>
      </c>
      <c r="G371" s="27"/>
      <c r="H371" s="23" t="str">
        <f>IF(OR(A371="",B371="",D371=""),"",IFERROR(INDEX(Items!$D$5:$D$19,MATCH(B371,Items!$A$5:$A$19,0))+SUMIFS(D$4:D370,B$4:B370,B371),""))</f>
        <v/>
      </c>
      <c r="I371" s="23" t="str">
        <f t="shared" si="31"/>
        <v/>
      </c>
      <c r="J371" s="23" t="str">
        <f t="shared" si="32"/>
        <v/>
      </c>
      <c r="K371" s="18" t="str">
        <f t="shared" si="33"/>
        <v/>
      </c>
      <c r="L371" s="16" t="str">
        <f t="shared" ca="1" si="34"/>
        <v/>
      </c>
      <c r="M371" s="25" t="str">
        <f>IF(H371="","",IF(I371&lt;=0,"Shipped",IF(L371&lt;=AGE30,"Fresh",IF(L371&lt;=AGE60,"Watch",IF(L371&lt;=AGE90,"Aging","Old")))))</f>
        <v/>
      </c>
      <c r="N371" s="16" t="str">
        <f t="shared" si="35"/>
        <v/>
      </c>
    </row>
    <row r="372" spans="1:14" x14ac:dyDescent="0.2">
      <c r="A372" s="32"/>
      <c r="B372" s="27"/>
      <c r="C372" s="15" t="str">
        <f>IF(B372="","",IFERROR(INDEX(Items!$B$5:$B$19,MATCH(B372,Items!$A$5:$A$19,0)),"Unknown code"))</f>
        <v/>
      </c>
      <c r="D372" s="29"/>
      <c r="E372" s="18" t="str">
        <f>IF(B372="","",IFERROR(INDEX(Items!$C$5:$C$19,MATCH(B372,Items!$A$5:$A$19,0)),""))</f>
        <v/>
      </c>
      <c r="F372" s="18" t="str">
        <f t="shared" si="30"/>
        <v/>
      </c>
      <c r="G372" s="27"/>
      <c r="H372" s="23" t="str">
        <f>IF(OR(A372="",B372="",D372=""),"",IFERROR(INDEX(Items!$D$5:$D$19,MATCH(B372,Items!$A$5:$A$19,0))+SUMIFS(D$4:D371,B$4:B371,B372),""))</f>
        <v/>
      </c>
      <c r="I372" s="23" t="str">
        <f t="shared" si="31"/>
        <v/>
      </c>
      <c r="J372" s="23" t="str">
        <f t="shared" si="32"/>
        <v/>
      </c>
      <c r="K372" s="18" t="str">
        <f t="shared" si="33"/>
        <v/>
      </c>
      <c r="L372" s="16" t="str">
        <f t="shared" ca="1" si="34"/>
        <v/>
      </c>
      <c r="M372" s="25" t="str">
        <f>IF(H372="","",IF(I372&lt;=0,"Shipped",IF(L372&lt;=AGE30,"Fresh",IF(L372&lt;=AGE60,"Watch",IF(L372&lt;=AGE90,"Aging","Old")))))</f>
        <v/>
      </c>
      <c r="N372" s="16" t="str">
        <f t="shared" si="35"/>
        <v/>
      </c>
    </row>
    <row r="373" spans="1:14" x14ac:dyDescent="0.2">
      <c r="A373" s="32"/>
      <c r="B373" s="27"/>
      <c r="C373" s="15" t="str">
        <f>IF(B373="","",IFERROR(INDEX(Items!$B$5:$B$19,MATCH(B373,Items!$A$5:$A$19,0)),"Unknown code"))</f>
        <v/>
      </c>
      <c r="D373" s="29"/>
      <c r="E373" s="18" t="str">
        <f>IF(B373="","",IFERROR(INDEX(Items!$C$5:$C$19,MATCH(B373,Items!$A$5:$A$19,0)),""))</f>
        <v/>
      </c>
      <c r="F373" s="18" t="str">
        <f t="shared" si="30"/>
        <v/>
      </c>
      <c r="G373" s="27"/>
      <c r="H373" s="23" t="str">
        <f>IF(OR(A373="",B373="",D373=""),"",IFERROR(INDEX(Items!$D$5:$D$19,MATCH(B373,Items!$A$5:$A$19,0))+SUMIFS(D$4:D372,B$4:B372,B373),""))</f>
        <v/>
      </c>
      <c r="I373" s="23" t="str">
        <f t="shared" si="31"/>
        <v/>
      </c>
      <c r="J373" s="23" t="str">
        <f t="shared" si="32"/>
        <v/>
      </c>
      <c r="K373" s="18" t="str">
        <f t="shared" si="33"/>
        <v/>
      </c>
      <c r="L373" s="16" t="str">
        <f t="shared" ca="1" si="34"/>
        <v/>
      </c>
      <c r="M373" s="25" t="str">
        <f>IF(H373="","",IF(I373&lt;=0,"Shipped",IF(L373&lt;=AGE30,"Fresh",IF(L373&lt;=AGE60,"Watch",IF(L373&lt;=AGE90,"Aging","Old")))))</f>
        <v/>
      </c>
      <c r="N373" s="16" t="str">
        <f t="shared" si="35"/>
        <v/>
      </c>
    </row>
    <row r="374" spans="1:14" x14ac:dyDescent="0.2">
      <c r="A374" s="32"/>
      <c r="B374" s="27"/>
      <c r="C374" s="15" t="str">
        <f>IF(B374="","",IFERROR(INDEX(Items!$B$5:$B$19,MATCH(B374,Items!$A$5:$A$19,0)),"Unknown code"))</f>
        <v/>
      </c>
      <c r="D374" s="29"/>
      <c r="E374" s="18" t="str">
        <f>IF(B374="","",IFERROR(INDEX(Items!$C$5:$C$19,MATCH(B374,Items!$A$5:$A$19,0)),""))</f>
        <v/>
      </c>
      <c r="F374" s="18" t="str">
        <f t="shared" si="30"/>
        <v/>
      </c>
      <c r="G374" s="27"/>
      <c r="H374" s="23" t="str">
        <f>IF(OR(A374="",B374="",D374=""),"",IFERROR(INDEX(Items!$D$5:$D$19,MATCH(B374,Items!$A$5:$A$19,0))+SUMIFS(D$4:D373,B$4:B373,B374),""))</f>
        <v/>
      </c>
      <c r="I374" s="23" t="str">
        <f t="shared" si="31"/>
        <v/>
      </c>
      <c r="J374" s="23" t="str">
        <f t="shared" si="32"/>
        <v/>
      </c>
      <c r="K374" s="18" t="str">
        <f t="shared" si="33"/>
        <v/>
      </c>
      <c r="L374" s="16" t="str">
        <f t="shared" ca="1" si="34"/>
        <v/>
      </c>
      <c r="M374" s="25" t="str">
        <f>IF(H374="","",IF(I374&lt;=0,"Shipped",IF(L374&lt;=AGE30,"Fresh",IF(L374&lt;=AGE60,"Watch",IF(L374&lt;=AGE90,"Aging","Old")))))</f>
        <v/>
      </c>
      <c r="N374" s="16" t="str">
        <f t="shared" si="35"/>
        <v/>
      </c>
    </row>
    <row r="375" spans="1:14" x14ac:dyDescent="0.2">
      <c r="A375" s="32"/>
      <c r="B375" s="27"/>
      <c r="C375" s="15" t="str">
        <f>IF(B375="","",IFERROR(INDEX(Items!$B$5:$B$19,MATCH(B375,Items!$A$5:$A$19,0)),"Unknown code"))</f>
        <v/>
      </c>
      <c r="D375" s="29"/>
      <c r="E375" s="18" t="str">
        <f>IF(B375="","",IFERROR(INDEX(Items!$C$5:$C$19,MATCH(B375,Items!$A$5:$A$19,0)),""))</f>
        <v/>
      </c>
      <c r="F375" s="18" t="str">
        <f t="shared" si="30"/>
        <v/>
      </c>
      <c r="G375" s="27"/>
      <c r="H375" s="23" t="str">
        <f>IF(OR(A375="",B375="",D375=""),"",IFERROR(INDEX(Items!$D$5:$D$19,MATCH(B375,Items!$A$5:$A$19,0))+SUMIFS(D$4:D374,B$4:B374,B375),""))</f>
        <v/>
      </c>
      <c r="I375" s="23" t="str">
        <f t="shared" si="31"/>
        <v/>
      </c>
      <c r="J375" s="23" t="str">
        <f t="shared" si="32"/>
        <v/>
      </c>
      <c r="K375" s="18" t="str">
        <f t="shared" si="33"/>
        <v/>
      </c>
      <c r="L375" s="16" t="str">
        <f t="shared" ca="1" si="34"/>
        <v/>
      </c>
      <c r="M375" s="25" t="str">
        <f>IF(H375="","",IF(I375&lt;=0,"Shipped",IF(L375&lt;=AGE30,"Fresh",IF(L375&lt;=AGE60,"Watch",IF(L375&lt;=AGE90,"Aging","Old")))))</f>
        <v/>
      </c>
      <c r="N375" s="16" t="str">
        <f t="shared" si="35"/>
        <v/>
      </c>
    </row>
    <row r="376" spans="1:14" x14ac:dyDescent="0.2">
      <c r="A376" s="32"/>
      <c r="B376" s="27"/>
      <c r="C376" s="15" t="str">
        <f>IF(B376="","",IFERROR(INDEX(Items!$B$5:$B$19,MATCH(B376,Items!$A$5:$A$19,0)),"Unknown code"))</f>
        <v/>
      </c>
      <c r="D376" s="29"/>
      <c r="E376" s="18" t="str">
        <f>IF(B376="","",IFERROR(INDEX(Items!$C$5:$C$19,MATCH(B376,Items!$A$5:$A$19,0)),""))</f>
        <v/>
      </c>
      <c r="F376" s="18" t="str">
        <f t="shared" si="30"/>
        <v/>
      </c>
      <c r="G376" s="27"/>
      <c r="H376" s="23" t="str">
        <f>IF(OR(A376="",B376="",D376=""),"",IFERROR(INDEX(Items!$D$5:$D$19,MATCH(B376,Items!$A$5:$A$19,0))+SUMIFS(D$4:D375,B$4:B375,B376),""))</f>
        <v/>
      </c>
      <c r="I376" s="23" t="str">
        <f t="shared" si="31"/>
        <v/>
      </c>
      <c r="J376" s="23" t="str">
        <f t="shared" si="32"/>
        <v/>
      </c>
      <c r="K376" s="18" t="str">
        <f t="shared" si="33"/>
        <v/>
      </c>
      <c r="L376" s="16" t="str">
        <f t="shared" ca="1" si="34"/>
        <v/>
      </c>
      <c r="M376" s="25" t="str">
        <f>IF(H376="","",IF(I376&lt;=0,"Shipped",IF(L376&lt;=AGE30,"Fresh",IF(L376&lt;=AGE60,"Watch",IF(L376&lt;=AGE90,"Aging","Old")))))</f>
        <v/>
      </c>
      <c r="N376" s="16" t="str">
        <f t="shared" si="35"/>
        <v/>
      </c>
    </row>
    <row r="377" spans="1:14" x14ac:dyDescent="0.2">
      <c r="A377" s="32"/>
      <c r="B377" s="27"/>
      <c r="C377" s="15" t="str">
        <f>IF(B377="","",IFERROR(INDEX(Items!$B$5:$B$19,MATCH(B377,Items!$A$5:$A$19,0)),"Unknown code"))</f>
        <v/>
      </c>
      <c r="D377" s="29"/>
      <c r="E377" s="18" t="str">
        <f>IF(B377="","",IFERROR(INDEX(Items!$C$5:$C$19,MATCH(B377,Items!$A$5:$A$19,0)),""))</f>
        <v/>
      </c>
      <c r="F377" s="18" t="str">
        <f t="shared" si="30"/>
        <v/>
      </c>
      <c r="G377" s="27"/>
      <c r="H377" s="23" t="str">
        <f>IF(OR(A377="",B377="",D377=""),"",IFERROR(INDEX(Items!$D$5:$D$19,MATCH(B377,Items!$A$5:$A$19,0))+SUMIFS(D$4:D376,B$4:B376,B377),""))</f>
        <v/>
      </c>
      <c r="I377" s="23" t="str">
        <f t="shared" si="31"/>
        <v/>
      </c>
      <c r="J377" s="23" t="str">
        <f t="shared" si="32"/>
        <v/>
      </c>
      <c r="K377" s="18" t="str">
        <f t="shared" si="33"/>
        <v/>
      </c>
      <c r="L377" s="16" t="str">
        <f t="shared" ca="1" si="34"/>
        <v/>
      </c>
      <c r="M377" s="25" t="str">
        <f>IF(H377="","",IF(I377&lt;=0,"Shipped",IF(L377&lt;=AGE30,"Fresh",IF(L377&lt;=AGE60,"Watch",IF(L377&lt;=AGE90,"Aging","Old")))))</f>
        <v/>
      </c>
      <c r="N377" s="16" t="str">
        <f t="shared" si="35"/>
        <v/>
      </c>
    </row>
    <row r="378" spans="1:14" x14ac:dyDescent="0.2">
      <c r="A378" s="32"/>
      <c r="B378" s="27"/>
      <c r="C378" s="15" t="str">
        <f>IF(B378="","",IFERROR(INDEX(Items!$B$5:$B$19,MATCH(B378,Items!$A$5:$A$19,0)),"Unknown code"))</f>
        <v/>
      </c>
      <c r="D378" s="29"/>
      <c r="E378" s="18" t="str">
        <f>IF(B378="","",IFERROR(INDEX(Items!$C$5:$C$19,MATCH(B378,Items!$A$5:$A$19,0)),""))</f>
        <v/>
      </c>
      <c r="F378" s="18" t="str">
        <f t="shared" si="30"/>
        <v/>
      </c>
      <c r="G378" s="27"/>
      <c r="H378" s="23" t="str">
        <f>IF(OR(A378="",B378="",D378=""),"",IFERROR(INDEX(Items!$D$5:$D$19,MATCH(B378,Items!$A$5:$A$19,0))+SUMIFS(D$4:D377,B$4:B377,B378),""))</f>
        <v/>
      </c>
      <c r="I378" s="23" t="str">
        <f t="shared" si="31"/>
        <v/>
      </c>
      <c r="J378" s="23" t="str">
        <f t="shared" si="32"/>
        <v/>
      </c>
      <c r="K378" s="18" t="str">
        <f t="shared" si="33"/>
        <v/>
      </c>
      <c r="L378" s="16" t="str">
        <f t="shared" ca="1" si="34"/>
        <v/>
      </c>
      <c r="M378" s="25" t="str">
        <f>IF(H378="","",IF(I378&lt;=0,"Shipped",IF(L378&lt;=AGE30,"Fresh",IF(L378&lt;=AGE60,"Watch",IF(L378&lt;=AGE90,"Aging","Old")))))</f>
        <v/>
      </c>
      <c r="N378" s="16" t="str">
        <f t="shared" si="35"/>
        <v/>
      </c>
    </row>
    <row r="379" spans="1:14" x14ac:dyDescent="0.2">
      <c r="A379" s="32"/>
      <c r="B379" s="27"/>
      <c r="C379" s="15" t="str">
        <f>IF(B379="","",IFERROR(INDEX(Items!$B$5:$B$19,MATCH(B379,Items!$A$5:$A$19,0)),"Unknown code"))</f>
        <v/>
      </c>
      <c r="D379" s="29"/>
      <c r="E379" s="18" t="str">
        <f>IF(B379="","",IFERROR(INDEX(Items!$C$5:$C$19,MATCH(B379,Items!$A$5:$A$19,0)),""))</f>
        <v/>
      </c>
      <c r="F379" s="18" t="str">
        <f t="shared" si="30"/>
        <v/>
      </c>
      <c r="G379" s="27"/>
      <c r="H379" s="23" t="str">
        <f>IF(OR(A379="",B379="",D379=""),"",IFERROR(INDEX(Items!$D$5:$D$19,MATCH(B379,Items!$A$5:$A$19,0))+SUMIFS(D$4:D378,B$4:B378,B379),""))</f>
        <v/>
      </c>
      <c r="I379" s="23" t="str">
        <f t="shared" si="31"/>
        <v/>
      </c>
      <c r="J379" s="23" t="str">
        <f t="shared" si="32"/>
        <v/>
      </c>
      <c r="K379" s="18" t="str">
        <f t="shared" si="33"/>
        <v/>
      </c>
      <c r="L379" s="16" t="str">
        <f t="shared" ca="1" si="34"/>
        <v/>
      </c>
      <c r="M379" s="25" t="str">
        <f>IF(H379="","",IF(I379&lt;=0,"Shipped",IF(L379&lt;=AGE30,"Fresh",IF(L379&lt;=AGE60,"Watch",IF(L379&lt;=AGE90,"Aging","Old")))))</f>
        <v/>
      </c>
      <c r="N379" s="16" t="str">
        <f t="shared" si="35"/>
        <v/>
      </c>
    </row>
    <row r="380" spans="1:14" x14ac:dyDescent="0.2">
      <c r="A380" s="32"/>
      <c r="B380" s="27"/>
      <c r="C380" s="15" t="str">
        <f>IF(B380="","",IFERROR(INDEX(Items!$B$5:$B$19,MATCH(B380,Items!$A$5:$A$19,0)),"Unknown code"))</f>
        <v/>
      </c>
      <c r="D380" s="29"/>
      <c r="E380" s="18" t="str">
        <f>IF(B380="","",IFERROR(INDEX(Items!$C$5:$C$19,MATCH(B380,Items!$A$5:$A$19,0)),""))</f>
        <v/>
      </c>
      <c r="F380" s="18" t="str">
        <f t="shared" si="30"/>
        <v/>
      </c>
      <c r="G380" s="27"/>
      <c r="H380" s="23" t="str">
        <f>IF(OR(A380="",B380="",D380=""),"",IFERROR(INDEX(Items!$D$5:$D$19,MATCH(B380,Items!$A$5:$A$19,0))+SUMIFS(D$4:D379,B$4:B379,B380),""))</f>
        <v/>
      </c>
      <c r="I380" s="23" t="str">
        <f t="shared" si="31"/>
        <v/>
      </c>
      <c r="J380" s="23" t="str">
        <f t="shared" si="32"/>
        <v/>
      </c>
      <c r="K380" s="18" t="str">
        <f t="shared" si="33"/>
        <v/>
      </c>
      <c r="L380" s="16" t="str">
        <f t="shared" ca="1" si="34"/>
        <v/>
      </c>
      <c r="M380" s="25" t="str">
        <f>IF(H380="","",IF(I380&lt;=0,"Shipped",IF(L380&lt;=AGE30,"Fresh",IF(L380&lt;=AGE60,"Watch",IF(L380&lt;=AGE90,"Aging","Old")))))</f>
        <v/>
      </c>
      <c r="N380" s="16" t="str">
        <f t="shared" si="35"/>
        <v/>
      </c>
    </row>
    <row r="381" spans="1:14" x14ac:dyDescent="0.2">
      <c r="A381" s="32"/>
      <c r="B381" s="27"/>
      <c r="C381" s="15" t="str">
        <f>IF(B381="","",IFERROR(INDEX(Items!$B$5:$B$19,MATCH(B381,Items!$A$5:$A$19,0)),"Unknown code"))</f>
        <v/>
      </c>
      <c r="D381" s="29"/>
      <c r="E381" s="18" t="str">
        <f>IF(B381="","",IFERROR(INDEX(Items!$C$5:$C$19,MATCH(B381,Items!$A$5:$A$19,0)),""))</f>
        <v/>
      </c>
      <c r="F381" s="18" t="str">
        <f t="shared" si="30"/>
        <v/>
      </c>
      <c r="G381" s="27"/>
      <c r="H381" s="23" t="str">
        <f>IF(OR(A381="",B381="",D381=""),"",IFERROR(INDEX(Items!$D$5:$D$19,MATCH(B381,Items!$A$5:$A$19,0))+SUMIFS(D$4:D380,B$4:B380,B381),""))</f>
        <v/>
      </c>
      <c r="I381" s="23" t="str">
        <f t="shared" si="31"/>
        <v/>
      </c>
      <c r="J381" s="23" t="str">
        <f t="shared" si="32"/>
        <v/>
      </c>
      <c r="K381" s="18" t="str">
        <f t="shared" si="33"/>
        <v/>
      </c>
      <c r="L381" s="16" t="str">
        <f t="shared" ca="1" si="34"/>
        <v/>
      </c>
      <c r="M381" s="25" t="str">
        <f>IF(H381="","",IF(I381&lt;=0,"Shipped",IF(L381&lt;=AGE30,"Fresh",IF(L381&lt;=AGE60,"Watch",IF(L381&lt;=AGE90,"Aging","Old")))))</f>
        <v/>
      </c>
      <c r="N381" s="16" t="str">
        <f t="shared" si="35"/>
        <v/>
      </c>
    </row>
    <row r="382" spans="1:14" x14ac:dyDescent="0.2">
      <c r="A382" s="32"/>
      <c r="B382" s="27"/>
      <c r="C382" s="15" t="str">
        <f>IF(B382="","",IFERROR(INDEX(Items!$B$5:$B$19,MATCH(B382,Items!$A$5:$A$19,0)),"Unknown code"))</f>
        <v/>
      </c>
      <c r="D382" s="29"/>
      <c r="E382" s="18" t="str">
        <f>IF(B382="","",IFERROR(INDEX(Items!$C$5:$C$19,MATCH(B382,Items!$A$5:$A$19,0)),""))</f>
        <v/>
      </c>
      <c r="F382" s="18" t="str">
        <f t="shared" si="30"/>
        <v/>
      </c>
      <c r="G382" s="27"/>
      <c r="H382" s="23" t="str">
        <f>IF(OR(A382="",B382="",D382=""),"",IFERROR(INDEX(Items!$D$5:$D$19,MATCH(B382,Items!$A$5:$A$19,0))+SUMIFS(D$4:D381,B$4:B381,B382),""))</f>
        <v/>
      </c>
      <c r="I382" s="23" t="str">
        <f t="shared" si="31"/>
        <v/>
      </c>
      <c r="J382" s="23" t="str">
        <f t="shared" si="32"/>
        <v/>
      </c>
      <c r="K382" s="18" t="str">
        <f t="shared" si="33"/>
        <v/>
      </c>
      <c r="L382" s="16" t="str">
        <f t="shared" ca="1" si="34"/>
        <v/>
      </c>
      <c r="M382" s="25" t="str">
        <f>IF(H382="","",IF(I382&lt;=0,"Shipped",IF(L382&lt;=AGE30,"Fresh",IF(L382&lt;=AGE60,"Watch",IF(L382&lt;=AGE90,"Aging","Old")))))</f>
        <v/>
      </c>
      <c r="N382" s="16" t="str">
        <f t="shared" si="35"/>
        <v/>
      </c>
    </row>
    <row r="383" spans="1:14" x14ac:dyDescent="0.2">
      <c r="A383" s="32"/>
      <c r="B383" s="27"/>
      <c r="C383" s="15" t="str">
        <f>IF(B383="","",IFERROR(INDEX(Items!$B$5:$B$19,MATCH(B383,Items!$A$5:$A$19,0)),"Unknown code"))</f>
        <v/>
      </c>
      <c r="D383" s="29"/>
      <c r="E383" s="18" t="str">
        <f>IF(B383="","",IFERROR(INDEX(Items!$C$5:$C$19,MATCH(B383,Items!$A$5:$A$19,0)),""))</f>
        <v/>
      </c>
      <c r="F383" s="18" t="str">
        <f t="shared" si="30"/>
        <v/>
      </c>
      <c r="G383" s="27"/>
      <c r="H383" s="23" t="str">
        <f>IF(OR(A383="",B383="",D383=""),"",IFERROR(INDEX(Items!$D$5:$D$19,MATCH(B383,Items!$A$5:$A$19,0))+SUMIFS(D$4:D382,B$4:B382,B383),""))</f>
        <v/>
      </c>
      <c r="I383" s="23" t="str">
        <f t="shared" si="31"/>
        <v/>
      </c>
      <c r="J383" s="23" t="str">
        <f t="shared" si="32"/>
        <v/>
      </c>
      <c r="K383" s="18" t="str">
        <f t="shared" si="33"/>
        <v/>
      </c>
      <c r="L383" s="16" t="str">
        <f t="shared" ca="1" si="34"/>
        <v/>
      </c>
      <c r="M383" s="25" t="str">
        <f>IF(H383="","",IF(I383&lt;=0,"Shipped",IF(L383&lt;=AGE30,"Fresh",IF(L383&lt;=AGE60,"Watch",IF(L383&lt;=AGE90,"Aging","Old")))))</f>
        <v/>
      </c>
      <c r="N383" s="16" t="str">
        <f t="shared" si="35"/>
        <v/>
      </c>
    </row>
    <row r="384" spans="1:14" x14ac:dyDescent="0.2">
      <c r="A384" s="32"/>
      <c r="B384" s="27"/>
      <c r="C384" s="15" t="str">
        <f>IF(B384="","",IFERROR(INDEX(Items!$B$5:$B$19,MATCH(B384,Items!$A$5:$A$19,0)),"Unknown code"))</f>
        <v/>
      </c>
      <c r="D384" s="29"/>
      <c r="E384" s="18" t="str">
        <f>IF(B384="","",IFERROR(INDEX(Items!$C$5:$C$19,MATCH(B384,Items!$A$5:$A$19,0)),""))</f>
        <v/>
      </c>
      <c r="F384" s="18" t="str">
        <f t="shared" si="30"/>
        <v/>
      </c>
      <c r="G384" s="27"/>
      <c r="H384" s="23" t="str">
        <f>IF(OR(A384="",B384="",D384=""),"",IFERROR(INDEX(Items!$D$5:$D$19,MATCH(B384,Items!$A$5:$A$19,0))+SUMIFS(D$4:D383,B$4:B383,B384),""))</f>
        <v/>
      </c>
      <c r="I384" s="23" t="str">
        <f t="shared" si="31"/>
        <v/>
      </c>
      <c r="J384" s="23" t="str">
        <f t="shared" si="32"/>
        <v/>
      </c>
      <c r="K384" s="18" t="str">
        <f t="shared" si="33"/>
        <v/>
      </c>
      <c r="L384" s="16" t="str">
        <f t="shared" ca="1" si="34"/>
        <v/>
      </c>
      <c r="M384" s="25" t="str">
        <f>IF(H384="","",IF(I384&lt;=0,"Shipped",IF(L384&lt;=AGE30,"Fresh",IF(L384&lt;=AGE60,"Watch",IF(L384&lt;=AGE90,"Aging","Old")))))</f>
        <v/>
      </c>
      <c r="N384" s="16" t="str">
        <f t="shared" si="35"/>
        <v/>
      </c>
    </row>
    <row r="385" spans="1:14" x14ac:dyDescent="0.2">
      <c r="A385" s="32"/>
      <c r="B385" s="27"/>
      <c r="C385" s="15" t="str">
        <f>IF(B385="","",IFERROR(INDEX(Items!$B$5:$B$19,MATCH(B385,Items!$A$5:$A$19,0)),"Unknown code"))</f>
        <v/>
      </c>
      <c r="D385" s="29"/>
      <c r="E385" s="18" t="str">
        <f>IF(B385="","",IFERROR(INDEX(Items!$C$5:$C$19,MATCH(B385,Items!$A$5:$A$19,0)),""))</f>
        <v/>
      </c>
      <c r="F385" s="18" t="str">
        <f t="shared" si="30"/>
        <v/>
      </c>
      <c r="G385" s="27"/>
      <c r="H385" s="23" t="str">
        <f>IF(OR(A385="",B385="",D385=""),"",IFERROR(INDEX(Items!$D$5:$D$19,MATCH(B385,Items!$A$5:$A$19,0))+SUMIFS(D$4:D384,B$4:B384,B385),""))</f>
        <v/>
      </c>
      <c r="I385" s="23" t="str">
        <f t="shared" si="31"/>
        <v/>
      </c>
      <c r="J385" s="23" t="str">
        <f t="shared" si="32"/>
        <v/>
      </c>
      <c r="K385" s="18" t="str">
        <f t="shared" si="33"/>
        <v/>
      </c>
      <c r="L385" s="16" t="str">
        <f t="shared" ca="1" si="34"/>
        <v/>
      </c>
      <c r="M385" s="25" t="str">
        <f>IF(H385="","",IF(I385&lt;=0,"Shipped",IF(L385&lt;=AGE30,"Fresh",IF(L385&lt;=AGE60,"Watch",IF(L385&lt;=AGE90,"Aging","Old")))))</f>
        <v/>
      </c>
      <c r="N385" s="16" t="str">
        <f t="shared" si="35"/>
        <v/>
      </c>
    </row>
    <row r="386" spans="1:14" x14ac:dyDescent="0.2">
      <c r="A386" s="32"/>
      <c r="B386" s="27"/>
      <c r="C386" s="15" t="str">
        <f>IF(B386="","",IFERROR(INDEX(Items!$B$5:$B$19,MATCH(B386,Items!$A$5:$A$19,0)),"Unknown code"))</f>
        <v/>
      </c>
      <c r="D386" s="29"/>
      <c r="E386" s="18" t="str">
        <f>IF(B386="","",IFERROR(INDEX(Items!$C$5:$C$19,MATCH(B386,Items!$A$5:$A$19,0)),""))</f>
        <v/>
      </c>
      <c r="F386" s="18" t="str">
        <f t="shared" si="30"/>
        <v/>
      </c>
      <c r="G386" s="27"/>
      <c r="H386" s="23" t="str">
        <f>IF(OR(A386="",B386="",D386=""),"",IFERROR(INDEX(Items!$D$5:$D$19,MATCH(B386,Items!$A$5:$A$19,0))+SUMIFS(D$4:D385,B$4:B385,B386),""))</f>
        <v/>
      </c>
      <c r="I386" s="23" t="str">
        <f t="shared" si="31"/>
        <v/>
      </c>
      <c r="J386" s="23" t="str">
        <f t="shared" si="32"/>
        <v/>
      </c>
      <c r="K386" s="18" t="str">
        <f t="shared" si="33"/>
        <v/>
      </c>
      <c r="L386" s="16" t="str">
        <f t="shared" ca="1" si="34"/>
        <v/>
      </c>
      <c r="M386" s="25" t="str">
        <f>IF(H386="","",IF(I386&lt;=0,"Shipped",IF(L386&lt;=AGE30,"Fresh",IF(L386&lt;=AGE60,"Watch",IF(L386&lt;=AGE90,"Aging","Old")))))</f>
        <v/>
      </c>
      <c r="N386" s="16" t="str">
        <f t="shared" si="35"/>
        <v/>
      </c>
    </row>
    <row r="387" spans="1:14" x14ac:dyDescent="0.2">
      <c r="A387" s="32"/>
      <c r="B387" s="27"/>
      <c r="C387" s="15" t="str">
        <f>IF(B387="","",IFERROR(INDEX(Items!$B$5:$B$19,MATCH(B387,Items!$A$5:$A$19,0)),"Unknown code"))</f>
        <v/>
      </c>
      <c r="D387" s="29"/>
      <c r="E387" s="18" t="str">
        <f>IF(B387="","",IFERROR(INDEX(Items!$C$5:$C$19,MATCH(B387,Items!$A$5:$A$19,0)),""))</f>
        <v/>
      </c>
      <c r="F387" s="18" t="str">
        <f t="shared" si="30"/>
        <v/>
      </c>
      <c r="G387" s="27"/>
      <c r="H387" s="23" t="str">
        <f>IF(OR(A387="",B387="",D387=""),"",IFERROR(INDEX(Items!$D$5:$D$19,MATCH(B387,Items!$A$5:$A$19,0))+SUMIFS(D$4:D386,B$4:B386,B387),""))</f>
        <v/>
      </c>
      <c r="I387" s="23" t="str">
        <f t="shared" si="31"/>
        <v/>
      </c>
      <c r="J387" s="23" t="str">
        <f t="shared" si="32"/>
        <v/>
      </c>
      <c r="K387" s="18" t="str">
        <f t="shared" si="33"/>
        <v/>
      </c>
      <c r="L387" s="16" t="str">
        <f t="shared" ca="1" si="34"/>
        <v/>
      </c>
      <c r="M387" s="25" t="str">
        <f>IF(H387="","",IF(I387&lt;=0,"Shipped",IF(L387&lt;=AGE30,"Fresh",IF(L387&lt;=AGE60,"Watch",IF(L387&lt;=AGE90,"Aging","Old")))))</f>
        <v/>
      </c>
      <c r="N387" s="16" t="str">
        <f t="shared" si="35"/>
        <v/>
      </c>
    </row>
    <row r="388" spans="1:14" x14ac:dyDescent="0.2">
      <c r="A388" s="32"/>
      <c r="B388" s="27"/>
      <c r="C388" s="15" t="str">
        <f>IF(B388="","",IFERROR(INDEX(Items!$B$5:$B$19,MATCH(B388,Items!$A$5:$A$19,0)),"Unknown code"))</f>
        <v/>
      </c>
      <c r="D388" s="29"/>
      <c r="E388" s="18" t="str">
        <f>IF(B388="","",IFERROR(INDEX(Items!$C$5:$C$19,MATCH(B388,Items!$A$5:$A$19,0)),""))</f>
        <v/>
      </c>
      <c r="F388" s="18" t="str">
        <f t="shared" si="30"/>
        <v/>
      </c>
      <c r="G388" s="27"/>
      <c r="H388" s="23" t="str">
        <f>IF(OR(A388="",B388="",D388=""),"",IFERROR(INDEX(Items!$D$5:$D$19,MATCH(B388,Items!$A$5:$A$19,0))+SUMIFS(D$4:D387,B$4:B387,B388),""))</f>
        <v/>
      </c>
      <c r="I388" s="23" t="str">
        <f t="shared" si="31"/>
        <v/>
      </c>
      <c r="J388" s="23" t="str">
        <f t="shared" si="32"/>
        <v/>
      </c>
      <c r="K388" s="18" t="str">
        <f t="shared" si="33"/>
        <v/>
      </c>
      <c r="L388" s="16" t="str">
        <f t="shared" ca="1" si="34"/>
        <v/>
      </c>
      <c r="M388" s="25" t="str">
        <f>IF(H388="","",IF(I388&lt;=0,"Shipped",IF(L388&lt;=AGE30,"Fresh",IF(L388&lt;=AGE60,"Watch",IF(L388&lt;=AGE90,"Aging","Old")))))</f>
        <v/>
      </c>
      <c r="N388" s="16" t="str">
        <f t="shared" si="35"/>
        <v/>
      </c>
    </row>
    <row r="389" spans="1:14" x14ac:dyDescent="0.2">
      <c r="A389" s="32"/>
      <c r="B389" s="27"/>
      <c r="C389" s="15" t="str">
        <f>IF(B389="","",IFERROR(INDEX(Items!$B$5:$B$19,MATCH(B389,Items!$A$5:$A$19,0)),"Unknown code"))</f>
        <v/>
      </c>
      <c r="D389" s="29"/>
      <c r="E389" s="18" t="str">
        <f>IF(B389="","",IFERROR(INDEX(Items!$C$5:$C$19,MATCH(B389,Items!$A$5:$A$19,0)),""))</f>
        <v/>
      </c>
      <c r="F389" s="18" t="str">
        <f t="shared" ref="F389:F452" si="36">IF(OR(D389="",E389=""),"",D389*E389)</f>
        <v/>
      </c>
      <c r="G389" s="27"/>
      <c r="H389" s="23" t="str">
        <f>IF(OR(A389="",B389="",D389=""),"",IFERROR(INDEX(Items!$D$5:$D$19,MATCH(B389,Items!$A$5:$A$19,0))+SUMIFS(D$4:D388,B$4:B388,B389),""))</f>
        <v/>
      </c>
      <c r="I389" s="23" t="str">
        <f t="shared" ref="I389:I452" si="37">IF(H389="","",MAX(0,MIN(D389,H389+D389-TotalShipped)))</f>
        <v/>
      </c>
      <c r="J389" s="23" t="str">
        <f t="shared" ref="J389:J452" si="38">IF(H389="","",D389-I389)</f>
        <v/>
      </c>
      <c r="K389" s="18" t="str">
        <f t="shared" ref="K389:K452" si="39">IF(OR(H389="",E389=""),"",I389*E389)</f>
        <v/>
      </c>
      <c r="L389" s="16" t="str">
        <f t="shared" ref="L389:L452" ca="1" si="40">IF(H389="","",IF(I389&gt;0,TODAY()-A389,""))</f>
        <v/>
      </c>
      <c r="M389" s="25" t="str">
        <f>IF(H389="","",IF(I389&lt;=0,"Shipped",IF(L389&lt;=AGE30,"Fresh",IF(L389&lt;=AGE60,"Watch",IF(L389&lt;=AGE90,"Aging","Old")))))</f>
        <v/>
      </c>
      <c r="N389" s="16" t="str">
        <f t="shared" ref="N389:N452" si="41">IF(H389="","",J389*A389)</f>
        <v/>
      </c>
    </row>
    <row r="390" spans="1:14" x14ac:dyDescent="0.2">
      <c r="A390" s="32"/>
      <c r="B390" s="27"/>
      <c r="C390" s="15" t="str">
        <f>IF(B390="","",IFERROR(INDEX(Items!$B$5:$B$19,MATCH(B390,Items!$A$5:$A$19,0)),"Unknown code"))</f>
        <v/>
      </c>
      <c r="D390" s="29"/>
      <c r="E390" s="18" t="str">
        <f>IF(B390="","",IFERROR(INDEX(Items!$C$5:$C$19,MATCH(B390,Items!$A$5:$A$19,0)),""))</f>
        <v/>
      </c>
      <c r="F390" s="18" t="str">
        <f t="shared" si="36"/>
        <v/>
      </c>
      <c r="G390" s="27"/>
      <c r="H390" s="23" t="str">
        <f>IF(OR(A390="",B390="",D390=""),"",IFERROR(INDEX(Items!$D$5:$D$19,MATCH(B390,Items!$A$5:$A$19,0))+SUMIFS(D$4:D389,B$4:B389,B390),""))</f>
        <v/>
      </c>
      <c r="I390" s="23" t="str">
        <f t="shared" si="37"/>
        <v/>
      </c>
      <c r="J390" s="23" t="str">
        <f t="shared" si="38"/>
        <v/>
      </c>
      <c r="K390" s="18" t="str">
        <f t="shared" si="39"/>
        <v/>
      </c>
      <c r="L390" s="16" t="str">
        <f t="shared" ca="1" si="40"/>
        <v/>
      </c>
      <c r="M390" s="25" t="str">
        <f>IF(H390="","",IF(I390&lt;=0,"Shipped",IF(L390&lt;=AGE30,"Fresh",IF(L390&lt;=AGE60,"Watch",IF(L390&lt;=AGE90,"Aging","Old")))))</f>
        <v/>
      </c>
      <c r="N390" s="16" t="str">
        <f t="shared" si="41"/>
        <v/>
      </c>
    </row>
    <row r="391" spans="1:14" x14ac:dyDescent="0.2">
      <c r="A391" s="32"/>
      <c r="B391" s="27"/>
      <c r="C391" s="15" t="str">
        <f>IF(B391="","",IFERROR(INDEX(Items!$B$5:$B$19,MATCH(B391,Items!$A$5:$A$19,0)),"Unknown code"))</f>
        <v/>
      </c>
      <c r="D391" s="29"/>
      <c r="E391" s="18" t="str">
        <f>IF(B391="","",IFERROR(INDEX(Items!$C$5:$C$19,MATCH(B391,Items!$A$5:$A$19,0)),""))</f>
        <v/>
      </c>
      <c r="F391" s="18" t="str">
        <f t="shared" si="36"/>
        <v/>
      </c>
      <c r="G391" s="27"/>
      <c r="H391" s="23" t="str">
        <f>IF(OR(A391="",B391="",D391=""),"",IFERROR(INDEX(Items!$D$5:$D$19,MATCH(B391,Items!$A$5:$A$19,0))+SUMIFS(D$4:D390,B$4:B390,B391),""))</f>
        <v/>
      </c>
      <c r="I391" s="23" t="str">
        <f t="shared" si="37"/>
        <v/>
      </c>
      <c r="J391" s="23" t="str">
        <f t="shared" si="38"/>
        <v/>
      </c>
      <c r="K391" s="18" t="str">
        <f t="shared" si="39"/>
        <v/>
      </c>
      <c r="L391" s="16" t="str">
        <f t="shared" ca="1" si="40"/>
        <v/>
      </c>
      <c r="M391" s="25" t="str">
        <f>IF(H391="","",IF(I391&lt;=0,"Shipped",IF(L391&lt;=AGE30,"Fresh",IF(L391&lt;=AGE60,"Watch",IF(L391&lt;=AGE90,"Aging","Old")))))</f>
        <v/>
      </c>
      <c r="N391" s="16" t="str">
        <f t="shared" si="41"/>
        <v/>
      </c>
    </row>
    <row r="392" spans="1:14" x14ac:dyDescent="0.2">
      <c r="A392" s="32"/>
      <c r="B392" s="27"/>
      <c r="C392" s="15" t="str">
        <f>IF(B392="","",IFERROR(INDEX(Items!$B$5:$B$19,MATCH(B392,Items!$A$5:$A$19,0)),"Unknown code"))</f>
        <v/>
      </c>
      <c r="D392" s="29"/>
      <c r="E392" s="18" t="str">
        <f>IF(B392="","",IFERROR(INDEX(Items!$C$5:$C$19,MATCH(B392,Items!$A$5:$A$19,0)),""))</f>
        <v/>
      </c>
      <c r="F392" s="18" t="str">
        <f t="shared" si="36"/>
        <v/>
      </c>
      <c r="G392" s="27"/>
      <c r="H392" s="23" t="str">
        <f>IF(OR(A392="",B392="",D392=""),"",IFERROR(INDEX(Items!$D$5:$D$19,MATCH(B392,Items!$A$5:$A$19,0))+SUMIFS(D$4:D391,B$4:B391,B392),""))</f>
        <v/>
      </c>
      <c r="I392" s="23" t="str">
        <f t="shared" si="37"/>
        <v/>
      </c>
      <c r="J392" s="23" t="str">
        <f t="shared" si="38"/>
        <v/>
      </c>
      <c r="K392" s="18" t="str">
        <f t="shared" si="39"/>
        <v/>
      </c>
      <c r="L392" s="16" t="str">
        <f t="shared" ca="1" si="40"/>
        <v/>
      </c>
      <c r="M392" s="25" t="str">
        <f>IF(H392="","",IF(I392&lt;=0,"Shipped",IF(L392&lt;=AGE30,"Fresh",IF(L392&lt;=AGE60,"Watch",IF(L392&lt;=AGE90,"Aging","Old")))))</f>
        <v/>
      </c>
      <c r="N392" s="16" t="str">
        <f t="shared" si="41"/>
        <v/>
      </c>
    </row>
    <row r="393" spans="1:14" x14ac:dyDescent="0.2">
      <c r="A393" s="32"/>
      <c r="B393" s="27"/>
      <c r="C393" s="15" t="str">
        <f>IF(B393="","",IFERROR(INDEX(Items!$B$5:$B$19,MATCH(B393,Items!$A$5:$A$19,0)),"Unknown code"))</f>
        <v/>
      </c>
      <c r="D393" s="29"/>
      <c r="E393" s="18" t="str">
        <f>IF(B393="","",IFERROR(INDEX(Items!$C$5:$C$19,MATCH(B393,Items!$A$5:$A$19,0)),""))</f>
        <v/>
      </c>
      <c r="F393" s="18" t="str">
        <f t="shared" si="36"/>
        <v/>
      </c>
      <c r="G393" s="27"/>
      <c r="H393" s="23" t="str">
        <f>IF(OR(A393="",B393="",D393=""),"",IFERROR(INDEX(Items!$D$5:$D$19,MATCH(B393,Items!$A$5:$A$19,0))+SUMIFS(D$4:D392,B$4:B392,B393),""))</f>
        <v/>
      </c>
      <c r="I393" s="23" t="str">
        <f t="shared" si="37"/>
        <v/>
      </c>
      <c r="J393" s="23" t="str">
        <f t="shared" si="38"/>
        <v/>
      </c>
      <c r="K393" s="18" t="str">
        <f t="shared" si="39"/>
        <v/>
      </c>
      <c r="L393" s="16" t="str">
        <f t="shared" ca="1" si="40"/>
        <v/>
      </c>
      <c r="M393" s="25" t="str">
        <f>IF(H393="","",IF(I393&lt;=0,"Shipped",IF(L393&lt;=AGE30,"Fresh",IF(L393&lt;=AGE60,"Watch",IF(L393&lt;=AGE90,"Aging","Old")))))</f>
        <v/>
      </c>
      <c r="N393" s="16" t="str">
        <f t="shared" si="41"/>
        <v/>
      </c>
    </row>
    <row r="394" spans="1:14" x14ac:dyDescent="0.2">
      <c r="A394" s="32"/>
      <c r="B394" s="27"/>
      <c r="C394" s="15" t="str">
        <f>IF(B394="","",IFERROR(INDEX(Items!$B$5:$B$19,MATCH(B394,Items!$A$5:$A$19,0)),"Unknown code"))</f>
        <v/>
      </c>
      <c r="D394" s="29"/>
      <c r="E394" s="18" t="str">
        <f>IF(B394="","",IFERROR(INDEX(Items!$C$5:$C$19,MATCH(B394,Items!$A$5:$A$19,0)),""))</f>
        <v/>
      </c>
      <c r="F394" s="18" t="str">
        <f t="shared" si="36"/>
        <v/>
      </c>
      <c r="G394" s="27"/>
      <c r="H394" s="23" t="str">
        <f>IF(OR(A394="",B394="",D394=""),"",IFERROR(INDEX(Items!$D$5:$D$19,MATCH(B394,Items!$A$5:$A$19,0))+SUMIFS(D$4:D393,B$4:B393,B394),""))</f>
        <v/>
      </c>
      <c r="I394" s="23" t="str">
        <f t="shared" si="37"/>
        <v/>
      </c>
      <c r="J394" s="23" t="str">
        <f t="shared" si="38"/>
        <v/>
      </c>
      <c r="K394" s="18" t="str">
        <f t="shared" si="39"/>
        <v/>
      </c>
      <c r="L394" s="16" t="str">
        <f t="shared" ca="1" si="40"/>
        <v/>
      </c>
      <c r="M394" s="25" t="str">
        <f>IF(H394="","",IF(I394&lt;=0,"Shipped",IF(L394&lt;=AGE30,"Fresh",IF(L394&lt;=AGE60,"Watch",IF(L394&lt;=AGE90,"Aging","Old")))))</f>
        <v/>
      </c>
      <c r="N394" s="16" t="str">
        <f t="shared" si="41"/>
        <v/>
      </c>
    </row>
    <row r="395" spans="1:14" x14ac:dyDescent="0.2">
      <c r="A395" s="32"/>
      <c r="B395" s="27"/>
      <c r="C395" s="15" t="str">
        <f>IF(B395="","",IFERROR(INDEX(Items!$B$5:$B$19,MATCH(B395,Items!$A$5:$A$19,0)),"Unknown code"))</f>
        <v/>
      </c>
      <c r="D395" s="29"/>
      <c r="E395" s="18" t="str">
        <f>IF(B395="","",IFERROR(INDEX(Items!$C$5:$C$19,MATCH(B395,Items!$A$5:$A$19,0)),""))</f>
        <v/>
      </c>
      <c r="F395" s="18" t="str">
        <f t="shared" si="36"/>
        <v/>
      </c>
      <c r="G395" s="27"/>
      <c r="H395" s="23" t="str">
        <f>IF(OR(A395="",B395="",D395=""),"",IFERROR(INDEX(Items!$D$5:$D$19,MATCH(B395,Items!$A$5:$A$19,0))+SUMIFS(D$4:D394,B$4:B394,B395),""))</f>
        <v/>
      </c>
      <c r="I395" s="23" t="str">
        <f t="shared" si="37"/>
        <v/>
      </c>
      <c r="J395" s="23" t="str">
        <f t="shared" si="38"/>
        <v/>
      </c>
      <c r="K395" s="18" t="str">
        <f t="shared" si="39"/>
        <v/>
      </c>
      <c r="L395" s="16" t="str">
        <f t="shared" ca="1" si="40"/>
        <v/>
      </c>
      <c r="M395" s="25" t="str">
        <f>IF(H395="","",IF(I395&lt;=0,"Shipped",IF(L395&lt;=AGE30,"Fresh",IF(L395&lt;=AGE60,"Watch",IF(L395&lt;=AGE90,"Aging","Old")))))</f>
        <v/>
      </c>
      <c r="N395" s="16" t="str">
        <f t="shared" si="41"/>
        <v/>
      </c>
    </row>
    <row r="396" spans="1:14" x14ac:dyDescent="0.2">
      <c r="A396" s="32"/>
      <c r="B396" s="27"/>
      <c r="C396" s="15" t="str">
        <f>IF(B396="","",IFERROR(INDEX(Items!$B$5:$B$19,MATCH(B396,Items!$A$5:$A$19,0)),"Unknown code"))</f>
        <v/>
      </c>
      <c r="D396" s="29"/>
      <c r="E396" s="18" t="str">
        <f>IF(B396="","",IFERROR(INDEX(Items!$C$5:$C$19,MATCH(B396,Items!$A$5:$A$19,0)),""))</f>
        <v/>
      </c>
      <c r="F396" s="18" t="str">
        <f t="shared" si="36"/>
        <v/>
      </c>
      <c r="G396" s="27"/>
      <c r="H396" s="23" t="str">
        <f>IF(OR(A396="",B396="",D396=""),"",IFERROR(INDEX(Items!$D$5:$D$19,MATCH(B396,Items!$A$5:$A$19,0))+SUMIFS(D$4:D395,B$4:B395,B396),""))</f>
        <v/>
      </c>
      <c r="I396" s="23" t="str">
        <f t="shared" si="37"/>
        <v/>
      </c>
      <c r="J396" s="23" t="str">
        <f t="shared" si="38"/>
        <v/>
      </c>
      <c r="K396" s="18" t="str">
        <f t="shared" si="39"/>
        <v/>
      </c>
      <c r="L396" s="16" t="str">
        <f t="shared" ca="1" si="40"/>
        <v/>
      </c>
      <c r="M396" s="25" t="str">
        <f>IF(H396="","",IF(I396&lt;=0,"Shipped",IF(L396&lt;=AGE30,"Fresh",IF(L396&lt;=AGE60,"Watch",IF(L396&lt;=AGE90,"Aging","Old")))))</f>
        <v/>
      </c>
      <c r="N396" s="16" t="str">
        <f t="shared" si="41"/>
        <v/>
      </c>
    </row>
    <row r="397" spans="1:14" x14ac:dyDescent="0.2">
      <c r="A397" s="32"/>
      <c r="B397" s="27"/>
      <c r="C397" s="15" t="str">
        <f>IF(B397="","",IFERROR(INDEX(Items!$B$5:$B$19,MATCH(B397,Items!$A$5:$A$19,0)),"Unknown code"))</f>
        <v/>
      </c>
      <c r="D397" s="29"/>
      <c r="E397" s="18" t="str">
        <f>IF(B397="","",IFERROR(INDEX(Items!$C$5:$C$19,MATCH(B397,Items!$A$5:$A$19,0)),""))</f>
        <v/>
      </c>
      <c r="F397" s="18" t="str">
        <f t="shared" si="36"/>
        <v/>
      </c>
      <c r="G397" s="27"/>
      <c r="H397" s="23" t="str">
        <f>IF(OR(A397="",B397="",D397=""),"",IFERROR(INDEX(Items!$D$5:$D$19,MATCH(B397,Items!$A$5:$A$19,0))+SUMIFS(D$4:D396,B$4:B396,B397),""))</f>
        <v/>
      </c>
      <c r="I397" s="23" t="str">
        <f t="shared" si="37"/>
        <v/>
      </c>
      <c r="J397" s="23" t="str">
        <f t="shared" si="38"/>
        <v/>
      </c>
      <c r="K397" s="18" t="str">
        <f t="shared" si="39"/>
        <v/>
      </c>
      <c r="L397" s="16" t="str">
        <f t="shared" ca="1" si="40"/>
        <v/>
      </c>
      <c r="M397" s="25" t="str">
        <f>IF(H397="","",IF(I397&lt;=0,"Shipped",IF(L397&lt;=AGE30,"Fresh",IF(L397&lt;=AGE60,"Watch",IF(L397&lt;=AGE90,"Aging","Old")))))</f>
        <v/>
      </c>
      <c r="N397" s="16" t="str">
        <f t="shared" si="41"/>
        <v/>
      </c>
    </row>
    <row r="398" spans="1:14" x14ac:dyDescent="0.2">
      <c r="A398" s="32"/>
      <c r="B398" s="27"/>
      <c r="C398" s="15" t="str">
        <f>IF(B398="","",IFERROR(INDEX(Items!$B$5:$B$19,MATCH(B398,Items!$A$5:$A$19,0)),"Unknown code"))</f>
        <v/>
      </c>
      <c r="D398" s="29"/>
      <c r="E398" s="18" t="str">
        <f>IF(B398="","",IFERROR(INDEX(Items!$C$5:$C$19,MATCH(B398,Items!$A$5:$A$19,0)),""))</f>
        <v/>
      </c>
      <c r="F398" s="18" t="str">
        <f t="shared" si="36"/>
        <v/>
      </c>
      <c r="G398" s="27"/>
      <c r="H398" s="23" t="str">
        <f>IF(OR(A398="",B398="",D398=""),"",IFERROR(INDEX(Items!$D$5:$D$19,MATCH(B398,Items!$A$5:$A$19,0))+SUMIFS(D$4:D397,B$4:B397,B398),""))</f>
        <v/>
      </c>
      <c r="I398" s="23" t="str">
        <f t="shared" si="37"/>
        <v/>
      </c>
      <c r="J398" s="23" t="str">
        <f t="shared" si="38"/>
        <v/>
      </c>
      <c r="K398" s="18" t="str">
        <f t="shared" si="39"/>
        <v/>
      </c>
      <c r="L398" s="16" t="str">
        <f t="shared" ca="1" si="40"/>
        <v/>
      </c>
      <c r="M398" s="25" t="str">
        <f>IF(H398="","",IF(I398&lt;=0,"Shipped",IF(L398&lt;=AGE30,"Fresh",IF(L398&lt;=AGE60,"Watch",IF(L398&lt;=AGE90,"Aging","Old")))))</f>
        <v/>
      </c>
      <c r="N398" s="16" t="str">
        <f t="shared" si="41"/>
        <v/>
      </c>
    </row>
    <row r="399" spans="1:14" x14ac:dyDescent="0.2">
      <c r="A399" s="32"/>
      <c r="B399" s="27"/>
      <c r="C399" s="15" t="str">
        <f>IF(B399="","",IFERROR(INDEX(Items!$B$5:$B$19,MATCH(B399,Items!$A$5:$A$19,0)),"Unknown code"))</f>
        <v/>
      </c>
      <c r="D399" s="29"/>
      <c r="E399" s="18" t="str">
        <f>IF(B399="","",IFERROR(INDEX(Items!$C$5:$C$19,MATCH(B399,Items!$A$5:$A$19,0)),""))</f>
        <v/>
      </c>
      <c r="F399" s="18" t="str">
        <f t="shared" si="36"/>
        <v/>
      </c>
      <c r="G399" s="27"/>
      <c r="H399" s="23" t="str">
        <f>IF(OR(A399="",B399="",D399=""),"",IFERROR(INDEX(Items!$D$5:$D$19,MATCH(B399,Items!$A$5:$A$19,0))+SUMIFS(D$4:D398,B$4:B398,B399),""))</f>
        <v/>
      </c>
      <c r="I399" s="23" t="str">
        <f t="shared" si="37"/>
        <v/>
      </c>
      <c r="J399" s="23" t="str">
        <f t="shared" si="38"/>
        <v/>
      </c>
      <c r="K399" s="18" t="str">
        <f t="shared" si="39"/>
        <v/>
      </c>
      <c r="L399" s="16" t="str">
        <f t="shared" ca="1" si="40"/>
        <v/>
      </c>
      <c r="M399" s="25" t="str">
        <f>IF(H399="","",IF(I399&lt;=0,"Shipped",IF(L399&lt;=AGE30,"Fresh",IF(L399&lt;=AGE60,"Watch",IF(L399&lt;=AGE90,"Aging","Old")))))</f>
        <v/>
      </c>
      <c r="N399" s="16" t="str">
        <f t="shared" si="41"/>
        <v/>
      </c>
    </row>
    <row r="400" spans="1:14" x14ac:dyDescent="0.2">
      <c r="A400" s="32"/>
      <c r="B400" s="27"/>
      <c r="C400" s="15" t="str">
        <f>IF(B400="","",IFERROR(INDEX(Items!$B$5:$B$19,MATCH(B400,Items!$A$5:$A$19,0)),"Unknown code"))</f>
        <v/>
      </c>
      <c r="D400" s="29"/>
      <c r="E400" s="18" t="str">
        <f>IF(B400="","",IFERROR(INDEX(Items!$C$5:$C$19,MATCH(B400,Items!$A$5:$A$19,0)),""))</f>
        <v/>
      </c>
      <c r="F400" s="18" t="str">
        <f t="shared" si="36"/>
        <v/>
      </c>
      <c r="G400" s="27"/>
      <c r="H400" s="23" t="str">
        <f>IF(OR(A400="",B400="",D400=""),"",IFERROR(INDEX(Items!$D$5:$D$19,MATCH(B400,Items!$A$5:$A$19,0))+SUMIFS(D$4:D399,B$4:B399,B400),""))</f>
        <v/>
      </c>
      <c r="I400" s="23" t="str">
        <f t="shared" si="37"/>
        <v/>
      </c>
      <c r="J400" s="23" t="str">
        <f t="shared" si="38"/>
        <v/>
      </c>
      <c r="K400" s="18" t="str">
        <f t="shared" si="39"/>
        <v/>
      </c>
      <c r="L400" s="16" t="str">
        <f t="shared" ca="1" si="40"/>
        <v/>
      </c>
      <c r="M400" s="25" t="str">
        <f>IF(H400="","",IF(I400&lt;=0,"Shipped",IF(L400&lt;=AGE30,"Fresh",IF(L400&lt;=AGE60,"Watch",IF(L400&lt;=AGE90,"Aging","Old")))))</f>
        <v/>
      </c>
      <c r="N400" s="16" t="str">
        <f t="shared" si="41"/>
        <v/>
      </c>
    </row>
    <row r="401" spans="1:14" x14ac:dyDescent="0.2">
      <c r="A401" s="32"/>
      <c r="B401" s="27"/>
      <c r="C401" s="15" t="str">
        <f>IF(B401="","",IFERROR(INDEX(Items!$B$5:$B$19,MATCH(B401,Items!$A$5:$A$19,0)),"Unknown code"))</f>
        <v/>
      </c>
      <c r="D401" s="29"/>
      <c r="E401" s="18" t="str">
        <f>IF(B401="","",IFERROR(INDEX(Items!$C$5:$C$19,MATCH(B401,Items!$A$5:$A$19,0)),""))</f>
        <v/>
      </c>
      <c r="F401" s="18" t="str">
        <f t="shared" si="36"/>
        <v/>
      </c>
      <c r="G401" s="27"/>
      <c r="H401" s="23" t="str">
        <f>IF(OR(A401="",B401="",D401=""),"",IFERROR(INDEX(Items!$D$5:$D$19,MATCH(B401,Items!$A$5:$A$19,0))+SUMIFS(D$4:D400,B$4:B400,B401),""))</f>
        <v/>
      </c>
      <c r="I401" s="23" t="str">
        <f t="shared" si="37"/>
        <v/>
      </c>
      <c r="J401" s="23" t="str">
        <f t="shared" si="38"/>
        <v/>
      </c>
      <c r="K401" s="18" t="str">
        <f t="shared" si="39"/>
        <v/>
      </c>
      <c r="L401" s="16" t="str">
        <f t="shared" ca="1" si="40"/>
        <v/>
      </c>
      <c r="M401" s="25" t="str">
        <f>IF(H401="","",IF(I401&lt;=0,"Shipped",IF(L401&lt;=AGE30,"Fresh",IF(L401&lt;=AGE60,"Watch",IF(L401&lt;=AGE90,"Aging","Old")))))</f>
        <v/>
      </c>
      <c r="N401" s="16" t="str">
        <f t="shared" si="41"/>
        <v/>
      </c>
    </row>
    <row r="402" spans="1:14" x14ac:dyDescent="0.2">
      <c r="A402" s="32"/>
      <c r="B402" s="27"/>
      <c r="C402" s="15" t="str">
        <f>IF(B402="","",IFERROR(INDEX(Items!$B$5:$B$19,MATCH(B402,Items!$A$5:$A$19,0)),"Unknown code"))</f>
        <v/>
      </c>
      <c r="D402" s="29"/>
      <c r="E402" s="18" t="str">
        <f>IF(B402="","",IFERROR(INDEX(Items!$C$5:$C$19,MATCH(B402,Items!$A$5:$A$19,0)),""))</f>
        <v/>
      </c>
      <c r="F402" s="18" t="str">
        <f t="shared" si="36"/>
        <v/>
      </c>
      <c r="G402" s="27"/>
      <c r="H402" s="23" t="str">
        <f>IF(OR(A402="",B402="",D402=""),"",IFERROR(INDEX(Items!$D$5:$D$19,MATCH(B402,Items!$A$5:$A$19,0))+SUMIFS(D$4:D401,B$4:B401,B402),""))</f>
        <v/>
      </c>
      <c r="I402" s="23" t="str">
        <f t="shared" si="37"/>
        <v/>
      </c>
      <c r="J402" s="23" t="str">
        <f t="shared" si="38"/>
        <v/>
      </c>
      <c r="K402" s="18" t="str">
        <f t="shared" si="39"/>
        <v/>
      </c>
      <c r="L402" s="16" t="str">
        <f t="shared" ca="1" si="40"/>
        <v/>
      </c>
      <c r="M402" s="25" t="str">
        <f>IF(H402="","",IF(I402&lt;=0,"Shipped",IF(L402&lt;=AGE30,"Fresh",IF(L402&lt;=AGE60,"Watch",IF(L402&lt;=AGE90,"Aging","Old")))))</f>
        <v/>
      </c>
      <c r="N402" s="16" t="str">
        <f t="shared" si="41"/>
        <v/>
      </c>
    </row>
    <row r="403" spans="1:14" x14ac:dyDescent="0.2">
      <c r="A403" s="32"/>
      <c r="B403" s="27"/>
      <c r="C403" s="15" t="str">
        <f>IF(B403="","",IFERROR(INDEX(Items!$B$5:$B$19,MATCH(B403,Items!$A$5:$A$19,0)),"Unknown code"))</f>
        <v/>
      </c>
      <c r="D403" s="29"/>
      <c r="E403" s="18" t="str">
        <f>IF(B403="","",IFERROR(INDEX(Items!$C$5:$C$19,MATCH(B403,Items!$A$5:$A$19,0)),""))</f>
        <v/>
      </c>
      <c r="F403" s="18" t="str">
        <f t="shared" si="36"/>
        <v/>
      </c>
      <c r="G403" s="27"/>
      <c r="H403" s="23" t="str">
        <f>IF(OR(A403="",B403="",D403=""),"",IFERROR(INDEX(Items!$D$5:$D$19,MATCH(B403,Items!$A$5:$A$19,0))+SUMIFS(D$4:D402,B$4:B402,B403),""))</f>
        <v/>
      </c>
      <c r="I403" s="23" t="str">
        <f t="shared" si="37"/>
        <v/>
      </c>
      <c r="J403" s="23" t="str">
        <f t="shared" si="38"/>
        <v/>
      </c>
      <c r="K403" s="18" t="str">
        <f t="shared" si="39"/>
        <v/>
      </c>
      <c r="L403" s="16" t="str">
        <f t="shared" ca="1" si="40"/>
        <v/>
      </c>
      <c r="M403" s="25" t="str">
        <f>IF(H403="","",IF(I403&lt;=0,"Shipped",IF(L403&lt;=AGE30,"Fresh",IF(L403&lt;=AGE60,"Watch",IF(L403&lt;=AGE90,"Aging","Old")))))</f>
        <v/>
      </c>
      <c r="N403" s="16" t="str">
        <f t="shared" si="41"/>
        <v/>
      </c>
    </row>
    <row r="404" spans="1:14" x14ac:dyDescent="0.2">
      <c r="A404" s="32"/>
      <c r="B404" s="27"/>
      <c r="C404" s="15" t="str">
        <f>IF(B404="","",IFERROR(INDEX(Items!$B$5:$B$19,MATCH(B404,Items!$A$5:$A$19,0)),"Unknown code"))</f>
        <v/>
      </c>
      <c r="D404" s="29"/>
      <c r="E404" s="18" t="str">
        <f>IF(B404="","",IFERROR(INDEX(Items!$C$5:$C$19,MATCH(B404,Items!$A$5:$A$19,0)),""))</f>
        <v/>
      </c>
      <c r="F404" s="18" t="str">
        <f t="shared" si="36"/>
        <v/>
      </c>
      <c r="G404" s="27"/>
      <c r="H404" s="23" t="str">
        <f>IF(OR(A404="",B404="",D404=""),"",IFERROR(INDEX(Items!$D$5:$D$19,MATCH(B404,Items!$A$5:$A$19,0))+SUMIFS(D$4:D403,B$4:B403,B404),""))</f>
        <v/>
      </c>
      <c r="I404" s="23" t="str">
        <f t="shared" si="37"/>
        <v/>
      </c>
      <c r="J404" s="23" t="str">
        <f t="shared" si="38"/>
        <v/>
      </c>
      <c r="K404" s="18" t="str">
        <f t="shared" si="39"/>
        <v/>
      </c>
      <c r="L404" s="16" t="str">
        <f t="shared" ca="1" si="40"/>
        <v/>
      </c>
      <c r="M404" s="25" t="str">
        <f>IF(H404="","",IF(I404&lt;=0,"Shipped",IF(L404&lt;=AGE30,"Fresh",IF(L404&lt;=AGE60,"Watch",IF(L404&lt;=AGE90,"Aging","Old")))))</f>
        <v/>
      </c>
      <c r="N404" s="16" t="str">
        <f t="shared" si="41"/>
        <v/>
      </c>
    </row>
    <row r="405" spans="1:14" x14ac:dyDescent="0.2">
      <c r="A405" s="32"/>
      <c r="B405" s="27"/>
      <c r="C405" s="15" t="str">
        <f>IF(B405="","",IFERROR(INDEX(Items!$B$5:$B$19,MATCH(B405,Items!$A$5:$A$19,0)),"Unknown code"))</f>
        <v/>
      </c>
      <c r="D405" s="29"/>
      <c r="E405" s="18" t="str">
        <f>IF(B405="","",IFERROR(INDEX(Items!$C$5:$C$19,MATCH(B405,Items!$A$5:$A$19,0)),""))</f>
        <v/>
      </c>
      <c r="F405" s="18" t="str">
        <f t="shared" si="36"/>
        <v/>
      </c>
      <c r="G405" s="27"/>
      <c r="H405" s="23" t="str">
        <f>IF(OR(A405="",B405="",D405=""),"",IFERROR(INDEX(Items!$D$5:$D$19,MATCH(B405,Items!$A$5:$A$19,0))+SUMIFS(D$4:D404,B$4:B404,B405),""))</f>
        <v/>
      </c>
      <c r="I405" s="23" t="str">
        <f t="shared" si="37"/>
        <v/>
      </c>
      <c r="J405" s="23" t="str">
        <f t="shared" si="38"/>
        <v/>
      </c>
      <c r="K405" s="18" t="str">
        <f t="shared" si="39"/>
        <v/>
      </c>
      <c r="L405" s="16" t="str">
        <f t="shared" ca="1" si="40"/>
        <v/>
      </c>
      <c r="M405" s="25" t="str">
        <f>IF(H405="","",IF(I405&lt;=0,"Shipped",IF(L405&lt;=AGE30,"Fresh",IF(L405&lt;=AGE60,"Watch",IF(L405&lt;=AGE90,"Aging","Old")))))</f>
        <v/>
      </c>
      <c r="N405" s="16" t="str">
        <f t="shared" si="41"/>
        <v/>
      </c>
    </row>
    <row r="406" spans="1:14" x14ac:dyDescent="0.2">
      <c r="A406" s="32"/>
      <c r="B406" s="27"/>
      <c r="C406" s="15" t="str">
        <f>IF(B406="","",IFERROR(INDEX(Items!$B$5:$B$19,MATCH(B406,Items!$A$5:$A$19,0)),"Unknown code"))</f>
        <v/>
      </c>
      <c r="D406" s="29"/>
      <c r="E406" s="18" t="str">
        <f>IF(B406="","",IFERROR(INDEX(Items!$C$5:$C$19,MATCH(B406,Items!$A$5:$A$19,0)),""))</f>
        <v/>
      </c>
      <c r="F406" s="18" t="str">
        <f t="shared" si="36"/>
        <v/>
      </c>
      <c r="G406" s="27"/>
      <c r="H406" s="23" t="str">
        <f>IF(OR(A406="",B406="",D406=""),"",IFERROR(INDEX(Items!$D$5:$D$19,MATCH(B406,Items!$A$5:$A$19,0))+SUMIFS(D$4:D405,B$4:B405,B406),""))</f>
        <v/>
      </c>
      <c r="I406" s="23" t="str">
        <f t="shared" si="37"/>
        <v/>
      </c>
      <c r="J406" s="23" t="str">
        <f t="shared" si="38"/>
        <v/>
      </c>
      <c r="K406" s="18" t="str">
        <f t="shared" si="39"/>
        <v/>
      </c>
      <c r="L406" s="16" t="str">
        <f t="shared" ca="1" si="40"/>
        <v/>
      </c>
      <c r="M406" s="25" t="str">
        <f>IF(H406="","",IF(I406&lt;=0,"Shipped",IF(L406&lt;=AGE30,"Fresh",IF(L406&lt;=AGE60,"Watch",IF(L406&lt;=AGE90,"Aging","Old")))))</f>
        <v/>
      </c>
      <c r="N406" s="16" t="str">
        <f t="shared" si="41"/>
        <v/>
      </c>
    </row>
    <row r="407" spans="1:14" x14ac:dyDescent="0.2">
      <c r="A407" s="32"/>
      <c r="B407" s="27"/>
      <c r="C407" s="15" t="str">
        <f>IF(B407="","",IFERROR(INDEX(Items!$B$5:$B$19,MATCH(B407,Items!$A$5:$A$19,0)),"Unknown code"))</f>
        <v/>
      </c>
      <c r="D407" s="29"/>
      <c r="E407" s="18" t="str">
        <f>IF(B407="","",IFERROR(INDEX(Items!$C$5:$C$19,MATCH(B407,Items!$A$5:$A$19,0)),""))</f>
        <v/>
      </c>
      <c r="F407" s="18" t="str">
        <f t="shared" si="36"/>
        <v/>
      </c>
      <c r="G407" s="27"/>
      <c r="H407" s="23" t="str">
        <f>IF(OR(A407="",B407="",D407=""),"",IFERROR(INDEX(Items!$D$5:$D$19,MATCH(B407,Items!$A$5:$A$19,0))+SUMIFS(D$4:D406,B$4:B406,B407),""))</f>
        <v/>
      </c>
      <c r="I407" s="23" t="str">
        <f t="shared" si="37"/>
        <v/>
      </c>
      <c r="J407" s="23" t="str">
        <f t="shared" si="38"/>
        <v/>
      </c>
      <c r="K407" s="18" t="str">
        <f t="shared" si="39"/>
        <v/>
      </c>
      <c r="L407" s="16" t="str">
        <f t="shared" ca="1" si="40"/>
        <v/>
      </c>
      <c r="M407" s="25" t="str">
        <f>IF(H407="","",IF(I407&lt;=0,"Shipped",IF(L407&lt;=AGE30,"Fresh",IF(L407&lt;=AGE60,"Watch",IF(L407&lt;=AGE90,"Aging","Old")))))</f>
        <v/>
      </c>
      <c r="N407" s="16" t="str">
        <f t="shared" si="41"/>
        <v/>
      </c>
    </row>
    <row r="408" spans="1:14" x14ac:dyDescent="0.2">
      <c r="A408" s="32"/>
      <c r="B408" s="27"/>
      <c r="C408" s="15" t="str">
        <f>IF(B408="","",IFERROR(INDEX(Items!$B$5:$B$19,MATCH(B408,Items!$A$5:$A$19,0)),"Unknown code"))</f>
        <v/>
      </c>
      <c r="D408" s="29"/>
      <c r="E408" s="18" t="str">
        <f>IF(B408="","",IFERROR(INDEX(Items!$C$5:$C$19,MATCH(B408,Items!$A$5:$A$19,0)),""))</f>
        <v/>
      </c>
      <c r="F408" s="18" t="str">
        <f t="shared" si="36"/>
        <v/>
      </c>
      <c r="G408" s="27"/>
      <c r="H408" s="23" t="str">
        <f>IF(OR(A408="",B408="",D408=""),"",IFERROR(INDEX(Items!$D$5:$D$19,MATCH(B408,Items!$A$5:$A$19,0))+SUMIFS(D$4:D407,B$4:B407,B408),""))</f>
        <v/>
      </c>
      <c r="I408" s="23" t="str">
        <f t="shared" si="37"/>
        <v/>
      </c>
      <c r="J408" s="23" t="str">
        <f t="shared" si="38"/>
        <v/>
      </c>
      <c r="K408" s="18" t="str">
        <f t="shared" si="39"/>
        <v/>
      </c>
      <c r="L408" s="16" t="str">
        <f t="shared" ca="1" si="40"/>
        <v/>
      </c>
      <c r="M408" s="25" t="str">
        <f>IF(H408="","",IF(I408&lt;=0,"Shipped",IF(L408&lt;=AGE30,"Fresh",IF(L408&lt;=AGE60,"Watch",IF(L408&lt;=AGE90,"Aging","Old")))))</f>
        <v/>
      </c>
      <c r="N408" s="16" t="str">
        <f t="shared" si="41"/>
        <v/>
      </c>
    </row>
    <row r="409" spans="1:14" x14ac:dyDescent="0.2">
      <c r="A409" s="32"/>
      <c r="B409" s="27"/>
      <c r="C409" s="15" t="str">
        <f>IF(B409="","",IFERROR(INDEX(Items!$B$5:$B$19,MATCH(B409,Items!$A$5:$A$19,0)),"Unknown code"))</f>
        <v/>
      </c>
      <c r="D409" s="29"/>
      <c r="E409" s="18" t="str">
        <f>IF(B409="","",IFERROR(INDEX(Items!$C$5:$C$19,MATCH(B409,Items!$A$5:$A$19,0)),""))</f>
        <v/>
      </c>
      <c r="F409" s="18" t="str">
        <f t="shared" si="36"/>
        <v/>
      </c>
      <c r="G409" s="27"/>
      <c r="H409" s="23" t="str">
        <f>IF(OR(A409="",B409="",D409=""),"",IFERROR(INDEX(Items!$D$5:$D$19,MATCH(B409,Items!$A$5:$A$19,0))+SUMIFS(D$4:D408,B$4:B408,B409),""))</f>
        <v/>
      </c>
      <c r="I409" s="23" t="str">
        <f t="shared" si="37"/>
        <v/>
      </c>
      <c r="J409" s="23" t="str">
        <f t="shared" si="38"/>
        <v/>
      </c>
      <c r="K409" s="18" t="str">
        <f t="shared" si="39"/>
        <v/>
      </c>
      <c r="L409" s="16" t="str">
        <f t="shared" ca="1" si="40"/>
        <v/>
      </c>
      <c r="M409" s="25" t="str">
        <f>IF(H409="","",IF(I409&lt;=0,"Shipped",IF(L409&lt;=AGE30,"Fresh",IF(L409&lt;=AGE60,"Watch",IF(L409&lt;=AGE90,"Aging","Old")))))</f>
        <v/>
      </c>
      <c r="N409" s="16" t="str">
        <f t="shared" si="41"/>
        <v/>
      </c>
    </row>
    <row r="410" spans="1:14" x14ac:dyDescent="0.2">
      <c r="A410" s="32"/>
      <c r="B410" s="27"/>
      <c r="C410" s="15" t="str">
        <f>IF(B410="","",IFERROR(INDEX(Items!$B$5:$B$19,MATCH(B410,Items!$A$5:$A$19,0)),"Unknown code"))</f>
        <v/>
      </c>
      <c r="D410" s="29"/>
      <c r="E410" s="18" t="str">
        <f>IF(B410="","",IFERROR(INDEX(Items!$C$5:$C$19,MATCH(B410,Items!$A$5:$A$19,0)),""))</f>
        <v/>
      </c>
      <c r="F410" s="18" t="str">
        <f t="shared" si="36"/>
        <v/>
      </c>
      <c r="G410" s="27"/>
      <c r="H410" s="23" t="str">
        <f>IF(OR(A410="",B410="",D410=""),"",IFERROR(INDEX(Items!$D$5:$D$19,MATCH(B410,Items!$A$5:$A$19,0))+SUMIFS(D$4:D409,B$4:B409,B410),""))</f>
        <v/>
      </c>
      <c r="I410" s="23" t="str">
        <f t="shared" si="37"/>
        <v/>
      </c>
      <c r="J410" s="23" t="str">
        <f t="shared" si="38"/>
        <v/>
      </c>
      <c r="K410" s="18" t="str">
        <f t="shared" si="39"/>
        <v/>
      </c>
      <c r="L410" s="16" t="str">
        <f t="shared" ca="1" si="40"/>
        <v/>
      </c>
      <c r="M410" s="25" t="str">
        <f>IF(H410="","",IF(I410&lt;=0,"Shipped",IF(L410&lt;=AGE30,"Fresh",IF(L410&lt;=AGE60,"Watch",IF(L410&lt;=AGE90,"Aging","Old")))))</f>
        <v/>
      </c>
      <c r="N410" s="16" t="str">
        <f t="shared" si="41"/>
        <v/>
      </c>
    </row>
    <row r="411" spans="1:14" x14ac:dyDescent="0.2">
      <c r="A411" s="32"/>
      <c r="B411" s="27"/>
      <c r="C411" s="15" t="str">
        <f>IF(B411="","",IFERROR(INDEX(Items!$B$5:$B$19,MATCH(B411,Items!$A$5:$A$19,0)),"Unknown code"))</f>
        <v/>
      </c>
      <c r="D411" s="29"/>
      <c r="E411" s="18" t="str">
        <f>IF(B411="","",IFERROR(INDEX(Items!$C$5:$C$19,MATCH(B411,Items!$A$5:$A$19,0)),""))</f>
        <v/>
      </c>
      <c r="F411" s="18" t="str">
        <f t="shared" si="36"/>
        <v/>
      </c>
      <c r="G411" s="27"/>
      <c r="H411" s="23" t="str">
        <f>IF(OR(A411="",B411="",D411=""),"",IFERROR(INDEX(Items!$D$5:$D$19,MATCH(B411,Items!$A$5:$A$19,0))+SUMIFS(D$4:D410,B$4:B410,B411),""))</f>
        <v/>
      </c>
      <c r="I411" s="23" t="str">
        <f t="shared" si="37"/>
        <v/>
      </c>
      <c r="J411" s="23" t="str">
        <f t="shared" si="38"/>
        <v/>
      </c>
      <c r="K411" s="18" t="str">
        <f t="shared" si="39"/>
        <v/>
      </c>
      <c r="L411" s="16" t="str">
        <f t="shared" ca="1" si="40"/>
        <v/>
      </c>
      <c r="M411" s="25" t="str">
        <f>IF(H411="","",IF(I411&lt;=0,"Shipped",IF(L411&lt;=AGE30,"Fresh",IF(L411&lt;=AGE60,"Watch",IF(L411&lt;=AGE90,"Aging","Old")))))</f>
        <v/>
      </c>
      <c r="N411" s="16" t="str">
        <f t="shared" si="41"/>
        <v/>
      </c>
    </row>
    <row r="412" spans="1:14" x14ac:dyDescent="0.2">
      <c r="A412" s="32"/>
      <c r="B412" s="27"/>
      <c r="C412" s="15" t="str">
        <f>IF(B412="","",IFERROR(INDEX(Items!$B$5:$B$19,MATCH(B412,Items!$A$5:$A$19,0)),"Unknown code"))</f>
        <v/>
      </c>
      <c r="D412" s="29"/>
      <c r="E412" s="18" t="str">
        <f>IF(B412="","",IFERROR(INDEX(Items!$C$5:$C$19,MATCH(B412,Items!$A$5:$A$19,0)),""))</f>
        <v/>
      </c>
      <c r="F412" s="18" t="str">
        <f t="shared" si="36"/>
        <v/>
      </c>
      <c r="G412" s="27"/>
      <c r="H412" s="23" t="str">
        <f>IF(OR(A412="",B412="",D412=""),"",IFERROR(INDEX(Items!$D$5:$D$19,MATCH(B412,Items!$A$5:$A$19,0))+SUMIFS(D$4:D411,B$4:B411,B412),""))</f>
        <v/>
      </c>
      <c r="I412" s="23" t="str">
        <f t="shared" si="37"/>
        <v/>
      </c>
      <c r="J412" s="23" t="str">
        <f t="shared" si="38"/>
        <v/>
      </c>
      <c r="K412" s="18" t="str">
        <f t="shared" si="39"/>
        <v/>
      </c>
      <c r="L412" s="16" t="str">
        <f t="shared" ca="1" si="40"/>
        <v/>
      </c>
      <c r="M412" s="25" t="str">
        <f>IF(H412="","",IF(I412&lt;=0,"Shipped",IF(L412&lt;=AGE30,"Fresh",IF(L412&lt;=AGE60,"Watch",IF(L412&lt;=AGE90,"Aging","Old")))))</f>
        <v/>
      </c>
      <c r="N412" s="16" t="str">
        <f t="shared" si="41"/>
        <v/>
      </c>
    </row>
    <row r="413" spans="1:14" x14ac:dyDescent="0.2">
      <c r="A413" s="32"/>
      <c r="B413" s="27"/>
      <c r="C413" s="15" t="str">
        <f>IF(B413="","",IFERROR(INDEX(Items!$B$5:$B$19,MATCH(B413,Items!$A$5:$A$19,0)),"Unknown code"))</f>
        <v/>
      </c>
      <c r="D413" s="29"/>
      <c r="E413" s="18" t="str">
        <f>IF(B413="","",IFERROR(INDEX(Items!$C$5:$C$19,MATCH(B413,Items!$A$5:$A$19,0)),""))</f>
        <v/>
      </c>
      <c r="F413" s="18" t="str">
        <f t="shared" si="36"/>
        <v/>
      </c>
      <c r="G413" s="27"/>
      <c r="H413" s="23" t="str">
        <f>IF(OR(A413="",B413="",D413=""),"",IFERROR(INDEX(Items!$D$5:$D$19,MATCH(B413,Items!$A$5:$A$19,0))+SUMIFS(D$4:D412,B$4:B412,B413),""))</f>
        <v/>
      </c>
      <c r="I413" s="23" t="str">
        <f t="shared" si="37"/>
        <v/>
      </c>
      <c r="J413" s="23" t="str">
        <f t="shared" si="38"/>
        <v/>
      </c>
      <c r="K413" s="18" t="str">
        <f t="shared" si="39"/>
        <v/>
      </c>
      <c r="L413" s="16" t="str">
        <f t="shared" ca="1" si="40"/>
        <v/>
      </c>
      <c r="M413" s="25" t="str">
        <f>IF(H413="","",IF(I413&lt;=0,"Shipped",IF(L413&lt;=AGE30,"Fresh",IF(L413&lt;=AGE60,"Watch",IF(L413&lt;=AGE90,"Aging","Old")))))</f>
        <v/>
      </c>
      <c r="N413" s="16" t="str">
        <f t="shared" si="41"/>
        <v/>
      </c>
    </row>
    <row r="414" spans="1:14" x14ac:dyDescent="0.2">
      <c r="A414" s="32"/>
      <c r="B414" s="27"/>
      <c r="C414" s="15" t="str">
        <f>IF(B414="","",IFERROR(INDEX(Items!$B$5:$B$19,MATCH(B414,Items!$A$5:$A$19,0)),"Unknown code"))</f>
        <v/>
      </c>
      <c r="D414" s="29"/>
      <c r="E414" s="18" t="str">
        <f>IF(B414="","",IFERROR(INDEX(Items!$C$5:$C$19,MATCH(B414,Items!$A$5:$A$19,0)),""))</f>
        <v/>
      </c>
      <c r="F414" s="18" t="str">
        <f t="shared" si="36"/>
        <v/>
      </c>
      <c r="G414" s="27"/>
      <c r="H414" s="23" t="str">
        <f>IF(OR(A414="",B414="",D414=""),"",IFERROR(INDEX(Items!$D$5:$D$19,MATCH(B414,Items!$A$5:$A$19,0))+SUMIFS(D$4:D413,B$4:B413,B414),""))</f>
        <v/>
      </c>
      <c r="I414" s="23" t="str">
        <f t="shared" si="37"/>
        <v/>
      </c>
      <c r="J414" s="23" t="str">
        <f t="shared" si="38"/>
        <v/>
      </c>
      <c r="K414" s="18" t="str">
        <f t="shared" si="39"/>
        <v/>
      </c>
      <c r="L414" s="16" t="str">
        <f t="shared" ca="1" si="40"/>
        <v/>
      </c>
      <c r="M414" s="25" t="str">
        <f>IF(H414="","",IF(I414&lt;=0,"Shipped",IF(L414&lt;=AGE30,"Fresh",IF(L414&lt;=AGE60,"Watch",IF(L414&lt;=AGE90,"Aging","Old")))))</f>
        <v/>
      </c>
      <c r="N414" s="16" t="str">
        <f t="shared" si="41"/>
        <v/>
      </c>
    </row>
    <row r="415" spans="1:14" x14ac:dyDescent="0.2">
      <c r="A415" s="32"/>
      <c r="B415" s="27"/>
      <c r="C415" s="15" t="str">
        <f>IF(B415="","",IFERROR(INDEX(Items!$B$5:$B$19,MATCH(B415,Items!$A$5:$A$19,0)),"Unknown code"))</f>
        <v/>
      </c>
      <c r="D415" s="29"/>
      <c r="E415" s="18" t="str">
        <f>IF(B415="","",IFERROR(INDEX(Items!$C$5:$C$19,MATCH(B415,Items!$A$5:$A$19,0)),""))</f>
        <v/>
      </c>
      <c r="F415" s="18" t="str">
        <f t="shared" si="36"/>
        <v/>
      </c>
      <c r="G415" s="27"/>
      <c r="H415" s="23" t="str">
        <f>IF(OR(A415="",B415="",D415=""),"",IFERROR(INDEX(Items!$D$5:$D$19,MATCH(B415,Items!$A$5:$A$19,0))+SUMIFS(D$4:D414,B$4:B414,B415),""))</f>
        <v/>
      </c>
      <c r="I415" s="23" t="str">
        <f t="shared" si="37"/>
        <v/>
      </c>
      <c r="J415" s="23" t="str">
        <f t="shared" si="38"/>
        <v/>
      </c>
      <c r="K415" s="18" t="str">
        <f t="shared" si="39"/>
        <v/>
      </c>
      <c r="L415" s="16" t="str">
        <f t="shared" ca="1" si="40"/>
        <v/>
      </c>
      <c r="M415" s="25" t="str">
        <f>IF(H415="","",IF(I415&lt;=0,"Shipped",IF(L415&lt;=AGE30,"Fresh",IF(L415&lt;=AGE60,"Watch",IF(L415&lt;=AGE90,"Aging","Old")))))</f>
        <v/>
      </c>
      <c r="N415" s="16" t="str">
        <f t="shared" si="41"/>
        <v/>
      </c>
    </row>
    <row r="416" spans="1:14" x14ac:dyDescent="0.2">
      <c r="A416" s="32"/>
      <c r="B416" s="27"/>
      <c r="C416" s="15" t="str">
        <f>IF(B416="","",IFERROR(INDEX(Items!$B$5:$B$19,MATCH(B416,Items!$A$5:$A$19,0)),"Unknown code"))</f>
        <v/>
      </c>
      <c r="D416" s="29"/>
      <c r="E416" s="18" t="str">
        <f>IF(B416="","",IFERROR(INDEX(Items!$C$5:$C$19,MATCH(B416,Items!$A$5:$A$19,0)),""))</f>
        <v/>
      </c>
      <c r="F416" s="18" t="str">
        <f t="shared" si="36"/>
        <v/>
      </c>
      <c r="G416" s="27"/>
      <c r="H416" s="23" t="str">
        <f>IF(OR(A416="",B416="",D416=""),"",IFERROR(INDEX(Items!$D$5:$D$19,MATCH(B416,Items!$A$5:$A$19,0))+SUMIFS(D$4:D415,B$4:B415,B416),""))</f>
        <v/>
      </c>
      <c r="I416" s="23" t="str">
        <f t="shared" si="37"/>
        <v/>
      </c>
      <c r="J416" s="23" t="str">
        <f t="shared" si="38"/>
        <v/>
      </c>
      <c r="K416" s="18" t="str">
        <f t="shared" si="39"/>
        <v/>
      </c>
      <c r="L416" s="16" t="str">
        <f t="shared" ca="1" si="40"/>
        <v/>
      </c>
      <c r="M416" s="25" t="str">
        <f>IF(H416="","",IF(I416&lt;=0,"Shipped",IF(L416&lt;=AGE30,"Fresh",IF(L416&lt;=AGE60,"Watch",IF(L416&lt;=AGE90,"Aging","Old")))))</f>
        <v/>
      </c>
      <c r="N416" s="16" t="str">
        <f t="shared" si="41"/>
        <v/>
      </c>
    </row>
    <row r="417" spans="1:14" x14ac:dyDescent="0.2">
      <c r="A417" s="32"/>
      <c r="B417" s="27"/>
      <c r="C417" s="15" t="str">
        <f>IF(B417="","",IFERROR(INDEX(Items!$B$5:$B$19,MATCH(B417,Items!$A$5:$A$19,0)),"Unknown code"))</f>
        <v/>
      </c>
      <c r="D417" s="29"/>
      <c r="E417" s="18" t="str">
        <f>IF(B417="","",IFERROR(INDEX(Items!$C$5:$C$19,MATCH(B417,Items!$A$5:$A$19,0)),""))</f>
        <v/>
      </c>
      <c r="F417" s="18" t="str">
        <f t="shared" si="36"/>
        <v/>
      </c>
      <c r="G417" s="27"/>
      <c r="H417" s="23" t="str">
        <f>IF(OR(A417="",B417="",D417=""),"",IFERROR(INDEX(Items!$D$5:$D$19,MATCH(B417,Items!$A$5:$A$19,0))+SUMIFS(D$4:D416,B$4:B416,B417),""))</f>
        <v/>
      </c>
      <c r="I417" s="23" t="str">
        <f t="shared" si="37"/>
        <v/>
      </c>
      <c r="J417" s="23" t="str">
        <f t="shared" si="38"/>
        <v/>
      </c>
      <c r="K417" s="18" t="str">
        <f t="shared" si="39"/>
        <v/>
      </c>
      <c r="L417" s="16" t="str">
        <f t="shared" ca="1" si="40"/>
        <v/>
      </c>
      <c r="M417" s="25" t="str">
        <f>IF(H417="","",IF(I417&lt;=0,"Shipped",IF(L417&lt;=AGE30,"Fresh",IF(L417&lt;=AGE60,"Watch",IF(L417&lt;=AGE90,"Aging","Old")))))</f>
        <v/>
      </c>
      <c r="N417" s="16" t="str">
        <f t="shared" si="41"/>
        <v/>
      </c>
    </row>
    <row r="418" spans="1:14" x14ac:dyDescent="0.2">
      <c r="A418" s="32"/>
      <c r="B418" s="27"/>
      <c r="C418" s="15" t="str">
        <f>IF(B418="","",IFERROR(INDEX(Items!$B$5:$B$19,MATCH(B418,Items!$A$5:$A$19,0)),"Unknown code"))</f>
        <v/>
      </c>
      <c r="D418" s="29"/>
      <c r="E418" s="18" t="str">
        <f>IF(B418="","",IFERROR(INDEX(Items!$C$5:$C$19,MATCH(B418,Items!$A$5:$A$19,0)),""))</f>
        <v/>
      </c>
      <c r="F418" s="18" t="str">
        <f t="shared" si="36"/>
        <v/>
      </c>
      <c r="G418" s="27"/>
      <c r="H418" s="23" t="str">
        <f>IF(OR(A418="",B418="",D418=""),"",IFERROR(INDEX(Items!$D$5:$D$19,MATCH(B418,Items!$A$5:$A$19,0))+SUMIFS(D$4:D417,B$4:B417,B418),""))</f>
        <v/>
      </c>
      <c r="I418" s="23" t="str">
        <f t="shared" si="37"/>
        <v/>
      </c>
      <c r="J418" s="23" t="str">
        <f t="shared" si="38"/>
        <v/>
      </c>
      <c r="K418" s="18" t="str">
        <f t="shared" si="39"/>
        <v/>
      </c>
      <c r="L418" s="16" t="str">
        <f t="shared" ca="1" si="40"/>
        <v/>
      </c>
      <c r="M418" s="25" t="str">
        <f>IF(H418="","",IF(I418&lt;=0,"Shipped",IF(L418&lt;=AGE30,"Fresh",IF(L418&lt;=AGE60,"Watch",IF(L418&lt;=AGE90,"Aging","Old")))))</f>
        <v/>
      </c>
      <c r="N418" s="16" t="str">
        <f t="shared" si="41"/>
        <v/>
      </c>
    </row>
    <row r="419" spans="1:14" x14ac:dyDescent="0.2">
      <c r="A419" s="32"/>
      <c r="B419" s="27"/>
      <c r="C419" s="15" t="str">
        <f>IF(B419="","",IFERROR(INDEX(Items!$B$5:$B$19,MATCH(B419,Items!$A$5:$A$19,0)),"Unknown code"))</f>
        <v/>
      </c>
      <c r="D419" s="29"/>
      <c r="E419" s="18" t="str">
        <f>IF(B419="","",IFERROR(INDEX(Items!$C$5:$C$19,MATCH(B419,Items!$A$5:$A$19,0)),""))</f>
        <v/>
      </c>
      <c r="F419" s="18" t="str">
        <f t="shared" si="36"/>
        <v/>
      </c>
      <c r="G419" s="27"/>
      <c r="H419" s="23" t="str">
        <f>IF(OR(A419="",B419="",D419=""),"",IFERROR(INDEX(Items!$D$5:$D$19,MATCH(B419,Items!$A$5:$A$19,0))+SUMIFS(D$4:D418,B$4:B418,B419),""))</f>
        <v/>
      </c>
      <c r="I419" s="23" t="str">
        <f t="shared" si="37"/>
        <v/>
      </c>
      <c r="J419" s="23" t="str">
        <f t="shared" si="38"/>
        <v/>
      </c>
      <c r="K419" s="18" t="str">
        <f t="shared" si="39"/>
        <v/>
      </c>
      <c r="L419" s="16" t="str">
        <f t="shared" ca="1" si="40"/>
        <v/>
      </c>
      <c r="M419" s="25" t="str">
        <f>IF(H419="","",IF(I419&lt;=0,"Shipped",IF(L419&lt;=AGE30,"Fresh",IF(L419&lt;=AGE60,"Watch",IF(L419&lt;=AGE90,"Aging","Old")))))</f>
        <v/>
      </c>
      <c r="N419" s="16" t="str">
        <f t="shared" si="41"/>
        <v/>
      </c>
    </row>
    <row r="420" spans="1:14" x14ac:dyDescent="0.2">
      <c r="A420" s="32"/>
      <c r="B420" s="27"/>
      <c r="C420" s="15" t="str">
        <f>IF(B420="","",IFERROR(INDEX(Items!$B$5:$B$19,MATCH(B420,Items!$A$5:$A$19,0)),"Unknown code"))</f>
        <v/>
      </c>
      <c r="D420" s="29"/>
      <c r="E420" s="18" t="str">
        <f>IF(B420="","",IFERROR(INDEX(Items!$C$5:$C$19,MATCH(B420,Items!$A$5:$A$19,0)),""))</f>
        <v/>
      </c>
      <c r="F420" s="18" t="str">
        <f t="shared" si="36"/>
        <v/>
      </c>
      <c r="G420" s="27"/>
      <c r="H420" s="23" t="str">
        <f>IF(OR(A420="",B420="",D420=""),"",IFERROR(INDEX(Items!$D$5:$D$19,MATCH(B420,Items!$A$5:$A$19,0))+SUMIFS(D$4:D419,B$4:B419,B420),""))</f>
        <v/>
      </c>
      <c r="I420" s="23" t="str">
        <f t="shared" si="37"/>
        <v/>
      </c>
      <c r="J420" s="23" t="str">
        <f t="shared" si="38"/>
        <v/>
      </c>
      <c r="K420" s="18" t="str">
        <f t="shared" si="39"/>
        <v/>
      </c>
      <c r="L420" s="16" t="str">
        <f t="shared" ca="1" si="40"/>
        <v/>
      </c>
      <c r="M420" s="25" t="str">
        <f>IF(H420="","",IF(I420&lt;=0,"Shipped",IF(L420&lt;=AGE30,"Fresh",IF(L420&lt;=AGE60,"Watch",IF(L420&lt;=AGE90,"Aging","Old")))))</f>
        <v/>
      </c>
      <c r="N420" s="16" t="str">
        <f t="shared" si="41"/>
        <v/>
      </c>
    </row>
    <row r="421" spans="1:14" x14ac:dyDescent="0.2">
      <c r="A421" s="32"/>
      <c r="B421" s="27"/>
      <c r="C421" s="15" t="str">
        <f>IF(B421="","",IFERROR(INDEX(Items!$B$5:$B$19,MATCH(B421,Items!$A$5:$A$19,0)),"Unknown code"))</f>
        <v/>
      </c>
      <c r="D421" s="29"/>
      <c r="E421" s="18" t="str">
        <f>IF(B421="","",IFERROR(INDEX(Items!$C$5:$C$19,MATCH(B421,Items!$A$5:$A$19,0)),""))</f>
        <v/>
      </c>
      <c r="F421" s="18" t="str">
        <f t="shared" si="36"/>
        <v/>
      </c>
      <c r="G421" s="27"/>
      <c r="H421" s="23" t="str">
        <f>IF(OR(A421="",B421="",D421=""),"",IFERROR(INDEX(Items!$D$5:$D$19,MATCH(B421,Items!$A$5:$A$19,0))+SUMIFS(D$4:D420,B$4:B420,B421),""))</f>
        <v/>
      </c>
      <c r="I421" s="23" t="str">
        <f t="shared" si="37"/>
        <v/>
      </c>
      <c r="J421" s="23" t="str">
        <f t="shared" si="38"/>
        <v/>
      </c>
      <c r="K421" s="18" t="str">
        <f t="shared" si="39"/>
        <v/>
      </c>
      <c r="L421" s="16" t="str">
        <f t="shared" ca="1" si="40"/>
        <v/>
      </c>
      <c r="M421" s="25" t="str">
        <f>IF(H421="","",IF(I421&lt;=0,"Shipped",IF(L421&lt;=AGE30,"Fresh",IF(L421&lt;=AGE60,"Watch",IF(L421&lt;=AGE90,"Aging","Old")))))</f>
        <v/>
      </c>
      <c r="N421" s="16" t="str">
        <f t="shared" si="41"/>
        <v/>
      </c>
    </row>
    <row r="422" spans="1:14" x14ac:dyDescent="0.2">
      <c r="A422" s="32"/>
      <c r="B422" s="27"/>
      <c r="C422" s="15" t="str">
        <f>IF(B422="","",IFERROR(INDEX(Items!$B$5:$B$19,MATCH(B422,Items!$A$5:$A$19,0)),"Unknown code"))</f>
        <v/>
      </c>
      <c r="D422" s="29"/>
      <c r="E422" s="18" t="str">
        <f>IF(B422="","",IFERROR(INDEX(Items!$C$5:$C$19,MATCH(B422,Items!$A$5:$A$19,0)),""))</f>
        <v/>
      </c>
      <c r="F422" s="18" t="str">
        <f t="shared" si="36"/>
        <v/>
      </c>
      <c r="G422" s="27"/>
      <c r="H422" s="23" t="str">
        <f>IF(OR(A422="",B422="",D422=""),"",IFERROR(INDEX(Items!$D$5:$D$19,MATCH(B422,Items!$A$5:$A$19,0))+SUMIFS(D$4:D421,B$4:B421,B422),""))</f>
        <v/>
      </c>
      <c r="I422" s="23" t="str">
        <f t="shared" si="37"/>
        <v/>
      </c>
      <c r="J422" s="23" t="str">
        <f t="shared" si="38"/>
        <v/>
      </c>
      <c r="K422" s="18" t="str">
        <f t="shared" si="39"/>
        <v/>
      </c>
      <c r="L422" s="16" t="str">
        <f t="shared" ca="1" si="40"/>
        <v/>
      </c>
      <c r="M422" s="25" t="str">
        <f>IF(H422="","",IF(I422&lt;=0,"Shipped",IF(L422&lt;=AGE30,"Fresh",IF(L422&lt;=AGE60,"Watch",IF(L422&lt;=AGE90,"Aging","Old")))))</f>
        <v/>
      </c>
      <c r="N422" s="16" t="str">
        <f t="shared" si="41"/>
        <v/>
      </c>
    </row>
    <row r="423" spans="1:14" x14ac:dyDescent="0.2">
      <c r="A423" s="32"/>
      <c r="B423" s="27"/>
      <c r="C423" s="15" t="str">
        <f>IF(B423="","",IFERROR(INDEX(Items!$B$5:$B$19,MATCH(B423,Items!$A$5:$A$19,0)),"Unknown code"))</f>
        <v/>
      </c>
      <c r="D423" s="29"/>
      <c r="E423" s="18" t="str">
        <f>IF(B423="","",IFERROR(INDEX(Items!$C$5:$C$19,MATCH(B423,Items!$A$5:$A$19,0)),""))</f>
        <v/>
      </c>
      <c r="F423" s="18" t="str">
        <f t="shared" si="36"/>
        <v/>
      </c>
      <c r="G423" s="27"/>
      <c r="H423" s="23" t="str">
        <f>IF(OR(A423="",B423="",D423=""),"",IFERROR(INDEX(Items!$D$5:$D$19,MATCH(B423,Items!$A$5:$A$19,0))+SUMIFS(D$4:D422,B$4:B422,B423),""))</f>
        <v/>
      </c>
      <c r="I423" s="23" t="str">
        <f t="shared" si="37"/>
        <v/>
      </c>
      <c r="J423" s="23" t="str">
        <f t="shared" si="38"/>
        <v/>
      </c>
      <c r="K423" s="18" t="str">
        <f t="shared" si="39"/>
        <v/>
      </c>
      <c r="L423" s="16" t="str">
        <f t="shared" ca="1" si="40"/>
        <v/>
      </c>
      <c r="M423" s="25" t="str">
        <f>IF(H423="","",IF(I423&lt;=0,"Shipped",IF(L423&lt;=AGE30,"Fresh",IF(L423&lt;=AGE60,"Watch",IF(L423&lt;=AGE90,"Aging","Old")))))</f>
        <v/>
      </c>
      <c r="N423" s="16" t="str">
        <f t="shared" si="41"/>
        <v/>
      </c>
    </row>
    <row r="424" spans="1:14" x14ac:dyDescent="0.2">
      <c r="A424" s="32"/>
      <c r="B424" s="27"/>
      <c r="C424" s="15" t="str">
        <f>IF(B424="","",IFERROR(INDEX(Items!$B$5:$B$19,MATCH(B424,Items!$A$5:$A$19,0)),"Unknown code"))</f>
        <v/>
      </c>
      <c r="D424" s="29"/>
      <c r="E424" s="18" t="str">
        <f>IF(B424="","",IFERROR(INDEX(Items!$C$5:$C$19,MATCH(B424,Items!$A$5:$A$19,0)),""))</f>
        <v/>
      </c>
      <c r="F424" s="18" t="str">
        <f t="shared" si="36"/>
        <v/>
      </c>
      <c r="G424" s="27"/>
      <c r="H424" s="23" t="str">
        <f>IF(OR(A424="",B424="",D424=""),"",IFERROR(INDEX(Items!$D$5:$D$19,MATCH(B424,Items!$A$5:$A$19,0))+SUMIFS(D$4:D423,B$4:B423,B424),""))</f>
        <v/>
      </c>
      <c r="I424" s="23" t="str">
        <f t="shared" si="37"/>
        <v/>
      </c>
      <c r="J424" s="23" t="str">
        <f t="shared" si="38"/>
        <v/>
      </c>
      <c r="K424" s="18" t="str">
        <f t="shared" si="39"/>
        <v/>
      </c>
      <c r="L424" s="16" t="str">
        <f t="shared" ca="1" si="40"/>
        <v/>
      </c>
      <c r="M424" s="25" t="str">
        <f>IF(H424="","",IF(I424&lt;=0,"Shipped",IF(L424&lt;=AGE30,"Fresh",IF(L424&lt;=AGE60,"Watch",IF(L424&lt;=AGE90,"Aging","Old")))))</f>
        <v/>
      </c>
      <c r="N424" s="16" t="str">
        <f t="shared" si="41"/>
        <v/>
      </c>
    </row>
    <row r="425" spans="1:14" x14ac:dyDescent="0.2">
      <c r="A425" s="32"/>
      <c r="B425" s="27"/>
      <c r="C425" s="15" t="str">
        <f>IF(B425="","",IFERROR(INDEX(Items!$B$5:$B$19,MATCH(B425,Items!$A$5:$A$19,0)),"Unknown code"))</f>
        <v/>
      </c>
      <c r="D425" s="29"/>
      <c r="E425" s="18" t="str">
        <f>IF(B425="","",IFERROR(INDEX(Items!$C$5:$C$19,MATCH(B425,Items!$A$5:$A$19,0)),""))</f>
        <v/>
      </c>
      <c r="F425" s="18" t="str">
        <f t="shared" si="36"/>
        <v/>
      </c>
      <c r="G425" s="27"/>
      <c r="H425" s="23" t="str">
        <f>IF(OR(A425="",B425="",D425=""),"",IFERROR(INDEX(Items!$D$5:$D$19,MATCH(B425,Items!$A$5:$A$19,0))+SUMIFS(D$4:D424,B$4:B424,B425),""))</f>
        <v/>
      </c>
      <c r="I425" s="23" t="str">
        <f t="shared" si="37"/>
        <v/>
      </c>
      <c r="J425" s="23" t="str">
        <f t="shared" si="38"/>
        <v/>
      </c>
      <c r="K425" s="18" t="str">
        <f t="shared" si="39"/>
        <v/>
      </c>
      <c r="L425" s="16" t="str">
        <f t="shared" ca="1" si="40"/>
        <v/>
      </c>
      <c r="M425" s="25" t="str">
        <f>IF(H425="","",IF(I425&lt;=0,"Shipped",IF(L425&lt;=AGE30,"Fresh",IF(L425&lt;=AGE60,"Watch",IF(L425&lt;=AGE90,"Aging","Old")))))</f>
        <v/>
      </c>
      <c r="N425" s="16" t="str">
        <f t="shared" si="41"/>
        <v/>
      </c>
    </row>
    <row r="426" spans="1:14" x14ac:dyDescent="0.2">
      <c r="A426" s="32"/>
      <c r="B426" s="27"/>
      <c r="C426" s="15" t="str">
        <f>IF(B426="","",IFERROR(INDEX(Items!$B$5:$B$19,MATCH(B426,Items!$A$5:$A$19,0)),"Unknown code"))</f>
        <v/>
      </c>
      <c r="D426" s="29"/>
      <c r="E426" s="18" t="str">
        <f>IF(B426="","",IFERROR(INDEX(Items!$C$5:$C$19,MATCH(B426,Items!$A$5:$A$19,0)),""))</f>
        <v/>
      </c>
      <c r="F426" s="18" t="str">
        <f t="shared" si="36"/>
        <v/>
      </c>
      <c r="G426" s="27"/>
      <c r="H426" s="23" t="str">
        <f>IF(OR(A426="",B426="",D426=""),"",IFERROR(INDEX(Items!$D$5:$D$19,MATCH(B426,Items!$A$5:$A$19,0))+SUMIFS(D$4:D425,B$4:B425,B426),""))</f>
        <v/>
      </c>
      <c r="I426" s="23" t="str">
        <f t="shared" si="37"/>
        <v/>
      </c>
      <c r="J426" s="23" t="str">
        <f t="shared" si="38"/>
        <v/>
      </c>
      <c r="K426" s="18" t="str">
        <f t="shared" si="39"/>
        <v/>
      </c>
      <c r="L426" s="16" t="str">
        <f t="shared" ca="1" si="40"/>
        <v/>
      </c>
      <c r="M426" s="25" t="str">
        <f>IF(H426="","",IF(I426&lt;=0,"Shipped",IF(L426&lt;=AGE30,"Fresh",IF(L426&lt;=AGE60,"Watch",IF(L426&lt;=AGE90,"Aging","Old")))))</f>
        <v/>
      </c>
      <c r="N426" s="16" t="str">
        <f t="shared" si="41"/>
        <v/>
      </c>
    </row>
    <row r="427" spans="1:14" x14ac:dyDescent="0.2">
      <c r="A427" s="32"/>
      <c r="B427" s="27"/>
      <c r="C427" s="15" t="str">
        <f>IF(B427="","",IFERROR(INDEX(Items!$B$5:$B$19,MATCH(B427,Items!$A$5:$A$19,0)),"Unknown code"))</f>
        <v/>
      </c>
      <c r="D427" s="29"/>
      <c r="E427" s="18" t="str">
        <f>IF(B427="","",IFERROR(INDEX(Items!$C$5:$C$19,MATCH(B427,Items!$A$5:$A$19,0)),""))</f>
        <v/>
      </c>
      <c r="F427" s="18" t="str">
        <f t="shared" si="36"/>
        <v/>
      </c>
      <c r="G427" s="27"/>
      <c r="H427" s="23" t="str">
        <f>IF(OR(A427="",B427="",D427=""),"",IFERROR(INDEX(Items!$D$5:$D$19,MATCH(B427,Items!$A$5:$A$19,0))+SUMIFS(D$4:D426,B$4:B426,B427),""))</f>
        <v/>
      </c>
      <c r="I427" s="23" t="str">
        <f t="shared" si="37"/>
        <v/>
      </c>
      <c r="J427" s="23" t="str">
        <f t="shared" si="38"/>
        <v/>
      </c>
      <c r="K427" s="18" t="str">
        <f t="shared" si="39"/>
        <v/>
      </c>
      <c r="L427" s="16" t="str">
        <f t="shared" ca="1" si="40"/>
        <v/>
      </c>
      <c r="M427" s="25" t="str">
        <f>IF(H427="","",IF(I427&lt;=0,"Shipped",IF(L427&lt;=AGE30,"Fresh",IF(L427&lt;=AGE60,"Watch",IF(L427&lt;=AGE90,"Aging","Old")))))</f>
        <v/>
      </c>
      <c r="N427" s="16" t="str">
        <f t="shared" si="41"/>
        <v/>
      </c>
    </row>
    <row r="428" spans="1:14" x14ac:dyDescent="0.2">
      <c r="A428" s="32"/>
      <c r="B428" s="27"/>
      <c r="C428" s="15" t="str">
        <f>IF(B428="","",IFERROR(INDEX(Items!$B$5:$B$19,MATCH(B428,Items!$A$5:$A$19,0)),"Unknown code"))</f>
        <v/>
      </c>
      <c r="D428" s="29"/>
      <c r="E428" s="18" t="str">
        <f>IF(B428="","",IFERROR(INDEX(Items!$C$5:$C$19,MATCH(B428,Items!$A$5:$A$19,0)),""))</f>
        <v/>
      </c>
      <c r="F428" s="18" t="str">
        <f t="shared" si="36"/>
        <v/>
      </c>
      <c r="G428" s="27"/>
      <c r="H428" s="23" t="str">
        <f>IF(OR(A428="",B428="",D428=""),"",IFERROR(INDEX(Items!$D$5:$D$19,MATCH(B428,Items!$A$5:$A$19,0))+SUMIFS(D$4:D427,B$4:B427,B428),""))</f>
        <v/>
      </c>
      <c r="I428" s="23" t="str">
        <f t="shared" si="37"/>
        <v/>
      </c>
      <c r="J428" s="23" t="str">
        <f t="shared" si="38"/>
        <v/>
      </c>
      <c r="K428" s="18" t="str">
        <f t="shared" si="39"/>
        <v/>
      </c>
      <c r="L428" s="16" t="str">
        <f t="shared" ca="1" si="40"/>
        <v/>
      </c>
      <c r="M428" s="25" t="str">
        <f>IF(H428="","",IF(I428&lt;=0,"Shipped",IF(L428&lt;=AGE30,"Fresh",IF(L428&lt;=AGE60,"Watch",IF(L428&lt;=AGE90,"Aging","Old")))))</f>
        <v/>
      </c>
      <c r="N428" s="16" t="str">
        <f t="shared" si="41"/>
        <v/>
      </c>
    </row>
    <row r="429" spans="1:14" x14ac:dyDescent="0.2">
      <c r="A429" s="32"/>
      <c r="B429" s="27"/>
      <c r="C429" s="15" t="str">
        <f>IF(B429="","",IFERROR(INDEX(Items!$B$5:$B$19,MATCH(B429,Items!$A$5:$A$19,0)),"Unknown code"))</f>
        <v/>
      </c>
      <c r="D429" s="29"/>
      <c r="E429" s="18" t="str">
        <f>IF(B429="","",IFERROR(INDEX(Items!$C$5:$C$19,MATCH(B429,Items!$A$5:$A$19,0)),""))</f>
        <v/>
      </c>
      <c r="F429" s="18" t="str">
        <f t="shared" si="36"/>
        <v/>
      </c>
      <c r="G429" s="27"/>
      <c r="H429" s="23" t="str">
        <f>IF(OR(A429="",B429="",D429=""),"",IFERROR(INDEX(Items!$D$5:$D$19,MATCH(B429,Items!$A$5:$A$19,0))+SUMIFS(D$4:D428,B$4:B428,B429),""))</f>
        <v/>
      </c>
      <c r="I429" s="23" t="str">
        <f t="shared" si="37"/>
        <v/>
      </c>
      <c r="J429" s="23" t="str">
        <f t="shared" si="38"/>
        <v/>
      </c>
      <c r="K429" s="18" t="str">
        <f t="shared" si="39"/>
        <v/>
      </c>
      <c r="L429" s="16" t="str">
        <f t="shared" ca="1" si="40"/>
        <v/>
      </c>
      <c r="M429" s="25" t="str">
        <f>IF(H429="","",IF(I429&lt;=0,"Shipped",IF(L429&lt;=AGE30,"Fresh",IF(L429&lt;=AGE60,"Watch",IF(L429&lt;=AGE90,"Aging","Old")))))</f>
        <v/>
      </c>
      <c r="N429" s="16" t="str">
        <f t="shared" si="41"/>
        <v/>
      </c>
    </row>
    <row r="430" spans="1:14" x14ac:dyDescent="0.2">
      <c r="A430" s="32"/>
      <c r="B430" s="27"/>
      <c r="C430" s="15" t="str">
        <f>IF(B430="","",IFERROR(INDEX(Items!$B$5:$B$19,MATCH(B430,Items!$A$5:$A$19,0)),"Unknown code"))</f>
        <v/>
      </c>
      <c r="D430" s="29"/>
      <c r="E430" s="18" t="str">
        <f>IF(B430="","",IFERROR(INDEX(Items!$C$5:$C$19,MATCH(B430,Items!$A$5:$A$19,0)),""))</f>
        <v/>
      </c>
      <c r="F430" s="18" t="str">
        <f t="shared" si="36"/>
        <v/>
      </c>
      <c r="G430" s="27"/>
      <c r="H430" s="23" t="str">
        <f>IF(OR(A430="",B430="",D430=""),"",IFERROR(INDEX(Items!$D$5:$D$19,MATCH(B430,Items!$A$5:$A$19,0))+SUMIFS(D$4:D429,B$4:B429,B430),""))</f>
        <v/>
      </c>
      <c r="I430" s="23" t="str">
        <f t="shared" si="37"/>
        <v/>
      </c>
      <c r="J430" s="23" t="str">
        <f t="shared" si="38"/>
        <v/>
      </c>
      <c r="K430" s="18" t="str">
        <f t="shared" si="39"/>
        <v/>
      </c>
      <c r="L430" s="16" t="str">
        <f t="shared" ca="1" si="40"/>
        <v/>
      </c>
      <c r="M430" s="25" t="str">
        <f>IF(H430="","",IF(I430&lt;=0,"Shipped",IF(L430&lt;=AGE30,"Fresh",IF(L430&lt;=AGE60,"Watch",IF(L430&lt;=AGE90,"Aging","Old")))))</f>
        <v/>
      </c>
      <c r="N430" s="16" t="str">
        <f t="shared" si="41"/>
        <v/>
      </c>
    </row>
    <row r="431" spans="1:14" x14ac:dyDescent="0.2">
      <c r="A431" s="32"/>
      <c r="B431" s="27"/>
      <c r="C431" s="15" t="str">
        <f>IF(B431="","",IFERROR(INDEX(Items!$B$5:$B$19,MATCH(B431,Items!$A$5:$A$19,0)),"Unknown code"))</f>
        <v/>
      </c>
      <c r="D431" s="29"/>
      <c r="E431" s="18" t="str">
        <f>IF(B431="","",IFERROR(INDEX(Items!$C$5:$C$19,MATCH(B431,Items!$A$5:$A$19,0)),""))</f>
        <v/>
      </c>
      <c r="F431" s="18" t="str">
        <f t="shared" si="36"/>
        <v/>
      </c>
      <c r="G431" s="27"/>
      <c r="H431" s="23" t="str">
        <f>IF(OR(A431="",B431="",D431=""),"",IFERROR(INDEX(Items!$D$5:$D$19,MATCH(B431,Items!$A$5:$A$19,0))+SUMIFS(D$4:D430,B$4:B430,B431),""))</f>
        <v/>
      </c>
      <c r="I431" s="23" t="str">
        <f t="shared" si="37"/>
        <v/>
      </c>
      <c r="J431" s="23" t="str">
        <f t="shared" si="38"/>
        <v/>
      </c>
      <c r="K431" s="18" t="str">
        <f t="shared" si="39"/>
        <v/>
      </c>
      <c r="L431" s="16" t="str">
        <f t="shared" ca="1" si="40"/>
        <v/>
      </c>
      <c r="M431" s="25" t="str">
        <f>IF(H431="","",IF(I431&lt;=0,"Shipped",IF(L431&lt;=AGE30,"Fresh",IF(L431&lt;=AGE60,"Watch",IF(L431&lt;=AGE90,"Aging","Old")))))</f>
        <v/>
      </c>
      <c r="N431" s="16" t="str">
        <f t="shared" si="41"/>
        <v/>
      </c>
    </row>
    <row r="432" spans="1:14" x14ac:dyDescent="0.2">
      <c r="A432" s="32"/>
      <c r="B432" s="27"/>
      <c r="C432" s="15" t="str">
        <f>IF(B432="","",IFERROR(INDEX(Items!$B$5:$B$19,MATCH(B432,Items!$A$5:$A$19,0)),"Unknown code"))</f>
        <v/>
      </c>
      <c r="D432" s="29"/>
      <c r="E432" s="18" t="str">
        <f>IF(B432="","",IFERROR(INDEX(Items!$C$5:$C$19,MATCH(B432,Items!$A$5:$A$19,0)),""))</f>
        <v/>
      </c>
      <c r="F432" s="18" t="str">
        <f t="shared" si="36"/>
        <v/>
      </c>
      <c r="G432" s="27"/>
      <c r="H432" s="23" t="str">
        <f>IF(OR(A432="",B432="",D432=""),"",IFERROR(INDEX(Items!$D$5:$D$19,MATCH(B432,Items!$A$5:$A$19,0))+SUMIFS(D$4:D431,B$4:B431,B432),""))</f>
        <v/>
      </c>
      <c r="I432" s="23" t="str">
        <f t="shared" si="37"/>
        <v/>
      </c>
      <c r="J432" s="23" t="str">
        <f t="shared" si="38"/>
        <v/>
      </c>
      <c r="K432" s="18" t="str">
        <f t="shared" si="39"/>
        <v/>
      </c>
      <c r="L432" s="16" t="str">
        <f t="shared" ca="1" si="40"/>
        <v/>
      </c>
      <c r="M432" s="25" t="str">
        <f>IF(H432="","",IF(I432&lt;=0,"Shipped",IF(L432&lt;=AGE30,"Fresh",IF(L432&lt;=AGE60,"Watch",IF(L432&lt;=AGE90,"Aging","Old")))))</f>
        <v/>
      </c>
      <c r="N432" s="16" t="str">
        <f t="shared" si="41"/>
        <v/>
      </c>
    </row>
    <row r="433" spans="1:14" x14ac:dyDescent="0.2">
      <c r="A433" s="32"/>
      <c r="B433" s="27"/>
      <c r="C433" s="15" t="str">
        <f>IF(B433="","",IFERROR(INDEX(Items!$B$5:$B$19,MATCH(B433,Items!$A$5:$A$19,0)),"Unknown code"))</f>
        <v/>
      </c>
      <c r="D433" s="29"/>
      <c r="E433" s="18" t="str">
        <f>IF(B433="","",IFERROR(INDEX(Items!$C$5:$C$19,MATCH(B433,Items!$A$5:$A$19,0)),""))</f>
        <v/>
      </c>
      <c r="F433" s="18" t="str">
        <f t="shared" si="36"/>
        <v/>
      </c>
      <c r="G433" s="27"/>
      <c r="H433" s="23" t="str">
        <f>IF(OR(A433="",B433="",D433=""),"",IFERROR(INDEX(Items!$D$5:$D$19,MATCH(B433,Items!$A$5:$A$19,0))+SUMIFS(D$4:D432,B$4:B432,B433),""))</f>
        <v/>
      </c>
      <c r="I433" s="23" t="str">
        <f t="shared" si="37"/>
        <v/>
      </c>
      <c r="J433" s="23" t="str">
        <f t="shared" si="38"/>
        <v/>
      </c>
      <c r="K433" s="18" t="str">
        <f t="shared" si="39"/>
        <v/>
      </c>
      <c r="L433" s="16" t="str">
        <f t="shared" ca="1" si="40"/>
        <v/>
      </c>
      <c r="M433" s="25" t="str">
        <f>IF(H433="","",IF(I433&lt;=0,"Shipped",IF(L433&lt;=AGE30,"Fresh",IF(L433&lt;=AGE60,"Watch",IF(L433&lt;=AGE90,"Aging","Old")))))</f>
        <v/>
      </c>
      <c r="N433" s="16" t="str">
        <f t="shared" si="41"/>
        <v/>
      </c>
    </row>
    <row r="434" spans="1:14" x14ac:dyDescent="0.2">
      <c r="A434" s="32"/>
      <c r="B434" s="27"/>
      <c r="C434" s="15" t="str">
        <f>IF(B434="","",IFERROR(INDEX(Items!$B$5:$B$19,MATCH(B434,Items!$A$5:$A$19,0)),"Unknown code"))</f>
        <v/>
      </c>
      <c r="D434" s="29"/>
      <c r="E434" s="18" t="str">
        <f>IF(B434="","",IFERROR(INDEX(Items!$C$5:$C$19,MATCH(B434,Items!$A$5:$A$19,0)),""))</f>
        <v/>
      </c>
      <c r="F434" s="18" t="str">
        <f t="shared" si="36"/>
        <v/>
      </c>
      <c r="G434" s="27"/>
      <c r="H434" s="23" t="str">
        <f>IF(OR(A434="",B434="",D434=""),"",IFERROR(INDEX(Items!$D$5:$D$19,MATCH(B434,Items!$A$5:$A$19,0))+SUMIFS(D$4:D433,B$4:B433,B434),""))</f>
        <v/>
      </c>
      <c r="I434" s="23" t="str">
        <f t="shared" si="37"/>
        <v/>
      </c>
      <c r="J434" s="23" t="str">
        <f t="shared" si="38"/>
        <v/>
      </c>
      <c r="K434" s="18" t="str">
        <f t="shared" si="39"/>
        <v/>
      </c>
      <c r="L434" s="16" t="str">
        <f t="shared" ca="1" si="40"/>
        <v/>
      </c>
      <c r="M434" s="25" t="str">
        <f>IF(H434="","",IF(I434&lt;=0,"Shipped",IF(L434&lt;=AGE30,"Fresh",IF(L434&lt;=AGE60,"Watch",IF(L434&lt;=AGE90,"Aging","Old")))))</f>
        <v/>
      </c>
      <c r="N434" s="16" t="str">
        <f t="shared" si="41"/>
        <v/>
      </c>
    </row>
    <row r="435" spans="1:14" x14ac:dyDescent="0.2">
      <c r="A435" s="32"/>
      <c r="B435" s="27"/>
      <c r="C435" s="15" t="str">
        <f>IF(B435="","",IFERROR(INDEX(Items!$B$5:$B$19,MATCH(B435,Items!$A$5:$A$19,0)),"Unknown code"))</f>
        <v/>
      </c>
      <c r="D435" s="29"/>
      <c r="E435" s="18" t="str">
        <f>IF(B435="","",IFERROR(INDEX(Items!$C$5:$C$19,MATCH(B435,Items!$A$5:$A$19,0)),""))</f>
        <v/>
      </c>
      <c r="F435" s="18" t="str">
        <f t="shared" si="36"/>
        <v/>
      </c>
      <c r="G435" s="27"/>
      <c r="H435" s="23" t="str">
        <f>IF(OR(A435="",B435="",D435=""),"",IFERROR(INDEX(Items!$D$5:$D$19,MATCH(B435,Items!$A$5:$A$19,0))+SUMIFS(D$4:D434,B$4:B434,B435),""))</f>
        <v/>
      </c>
      <c r="I435" s="23" t="str">
        <f t="shared" si="37"/>
        <v/>
      </c>
      <c r="J435" s="23" t="str">
        <f t="shared" si="38"/>
        <v/>
      </c>
      <c r="K435" s="18" t="str">
        <f t="shared" si="39"/>
        <v/>
      </c>
      <c r="L435" s="16" t="str">
        <f t="shared" ca="1" si="40"/>
        <v/>
      </c>
      <c r="M435" s="25" t="str">
        <f>IF(H435="","",IF(I435&lt;=0,"Shipped",IF(L435&lt;=AGE30,"Fresh",IF(L435&lt;=AGE60,"Watch",IF(L435&lt;=AGE90,"Aging","Old")))))</f>
        <v/>
      </c>
      <c r="N435" s="16" t="str">
        <f t="shared" si="41"/>
        <v/>
      </c>
    </row>
    <row r="436" spans="1:14" x14ac:dyDescent="0.2">
      <c r="A436" s="32"/>
      <c r="B436" s="27"/>
      <c r="C436" s="15" t="str">
        <f>IF(B436="","",IFERROR(INDEX(Items!$B$5:$B$19,MATCH(B436,Items!$A$5:$A$19,0)),"Unknown code"))</f>
        <v/>
      </c>
      <c r="D436" s="29"/>
      <c r="E436" s="18" t="str">
        <f>IF(B436="","",IFERROR(INDEX(Items!$C$5:$C$19,MATCH(B436,Items!$A$5:$A$19,0)),""))</f>
        <v/>
      </c>
      <c r="F436" s="18" t="str">
        <f t="shared" si="36"/>
        <v/>
      </c>
      <c r="G436" s="27"/>
      <c r="H436" s="23" t="str">
        <f>IF(OR(A436="",B436="",D436=""),"",IFERROR(INDEX(Items!$D$5:$D$19,MATCH(B436,Items!$A$5:$A$19,0))+SUMIFS(D$4:D435,B$4:B435,B436),""))</f>
        <v/>
      </c>
      <c r="I436" s="23" t="str">
        <f t="shared" si="37"/>
        <v/>
      </c>
      <c r="J436" s="23" t="str">
        <f t="shared" si="38"/>
        <v/>
      </c>
      <c r="K436" s="18" t="str">
        <f t="shared" si="39"/>
        <v/>
      </c>
      <c r="L436" s="16" t="str">
        <f t="shared" ca="1" si="40"/>
        <v/>
      </c>
      <c r="M436" s="25" t="str">
        <f>IF(H436="","",IF(I436&lt;=0,"Shipped",IF(L436&lt;=AGE30,"Fresh",IF(L436&lt;=AGE60,"Watch",IF(L436&lt;=AGE90,"Aging","Old")))))</f>
        <v/>
      </c>
      <c r="N436" s="16" t="str">
        <f t="shared" si="41"/>
        <v/>
      </c>
    </row>
    <row r="437" spans="1:14" x14ac:dyDescent="0.2">
      <c r="A437" s="32"/>
      <c r="B437" s="27"/>
      <c r="C437" s="15" t="str">
        <f>IF(B437="","",IFERROR(INDEX(Items!$B$5:$B$19,MATCH(B437,Items!$A$5:$A$19,0)),"Unknown code"))</f>
        <v/>
      </c>
      <c r="D437" s="29"/>
      <c r="E437" s="18" t="str">
        <f>IF(B437="","",IFERROR(INDEX(Items!$C$5:$C$19,MATCH(B437,Items!$A$5:$A$19,0)),""))</f>
        <v/>
      </c>
      <c r="F437" s="18" t="str">
        <f t="shared" si="36"/>
        <v/>
      </c>
      <c r="G437" s="27"/>
      <c r="H437" s="23" t="str">
        <f>IF(OR(A437="",B437="",D437=""),"",IFERROR(INDEX(Items!$D$5:$D$19,MATCH(B437,Items!$A$5:$A$19,0))+SUMIFS(D$4:D436,B$4:B436,B437),""))</f>
        <v/>
      </c>
      <c r="I437" s="23" t="str">
        <f t="shared" si="37"/>
        <v/>
      </c>
      <c r="J437" s="23" t="str">
        <f t="shared" si="38"/>
        <v/>
      </c>
      <c r="K437" s="18" t="str">
        <f t="shared" si="39"/>
        <v/>
      </c>
      <c r="L437" s="16" t="str">
        <f t="shared" ca="1" si="40"/>
        <v/>
      </c>
      <c r="M437" s="25" t="str">
        <f>IF(H437="","",IF(I437&lt;=0,"Shipped",IF(L437&lt;=AGE30,"Fresh",IF(L437&lt;=AGE60,"Watch",IF(L437&lt;=AGE90,"Aging","Old")))))</f>
        <v/>
      </c>
      <c r="N437" s="16" t="str">
        <f t="shared" si="41"/>
        <v/>
      </c>
    </row>
    <row r="438" spans="1:14" x14ac:dyDescent="0.2">
      <c r="A438" s="32"/>
      <c r="B438" s="27"/>
      <c r="C438" s="15" t="str">
        <f>IF(B438="","",IFERROR(INDEX(Items!$B$5:$B$19,MATCH(B438,Items!$A$5:$A$19,0)),"Unknown code"))</f>
        <v/>
      </c>
      <c r="D438" s="29"/>
      <c r="E438" s="18" t="str">
        <f>IF(B438="","",IFERROR(INDEX(Items!$C$5:$C$19,MATCH(B438,Items!$A$5:$A$19,0)),""))</f>
        <v/>
      </c>
      <c r="F438" s="18" t="str">
        <f t="shared" si="36"/>
        <v/>
      </c>
      <c r="G438" s="27"/>
      <c r="H438" s="23" t="str">
        <f>IF(OR(A438="",B438="",D438=""),"",IFERROR(INDEX(Items!$D$5:$D$19,MATCH(B438,Items!$A$5:$A$19,0))+SUMIFS(D$4:D437,B$4:B437,B438),""))</f>
        <v/>
      </c>
      <c r="I438" s="23" t="str">
        <f t="shared" si="37"/>
        <v/>
      </c>
      <c r="J438" s="23" t="str">
        <f t="shared" si="38"/>
        <v/>
      </c>
      <c r="K438" s="18" t="str">
        <f t="shared" si="39"/>
        <v/>
      </c>
      <c r="L438" s="16" t="str">
        <f t="shared" ca="1" si="40"/>
        <v/>
      </c>
      <c r="M438" s="25" t="str">
        <f>IF(H438="","",IF(I438&lt;=0,"Shipped",IF(L438&lt;=AGE30,"Fresh",IF(L438&lt;=AGE60,"Watch",IF(L438&lt;=AGE90,"Aging","Old")))))</f>
        <v/>
      </c>
      <c r="N438" s="16" t="str">
        <f t="shared" si="41"/>
        <v/>
      </c>
    </row>
    <row r="439" spans="1:14" x14ac:dyDescent="0.2">
      <c r="A439" s="32"/>
      <c r="B439" s="27"/>
      <c r="C439" s="15" t="str">
        <f>IF(B439="","",IFERROR(INDEX(Items!$B$5:$B$19,MATCH(B439,Items!$A$5:$A$19,0)),"Unknown code"))</f>
        <v/>
      </c>
      <c r="D439" s="29"/>
      <c r="E439" s="18" t="str">
        <f>IF(B439="","",IFERROR(INDEX(Items!$C$5:$C$19,MATCH(B439,Items!$A$5:$A$19,0)),""))</f>
        <v/>
      </c>
      <c r="F439" s="18" t="str">
        <f t="shared" si="36"/>
        <v/>
      </c>
      <c r="G439" s="27"/>
      <c r="H439" s="23" t="str">
        <f>IF(OR(A439="",B439="",D439=""),"",IFERROR(INDEX(Items!$D$5:$D$19,MATCH(B439,Items!$A$5:$A$19,0))+SUMIFS(D$4:D438,B$4:B438,B439),""))</f>
        <v/>
      </c>
      <c r="I439" s="23" t="str">
        <f t="shared" si="37"/>
        <v/>
      </c>
      <c r="J439" s="23" t="str">
        <f t="shared" si="38"/>
        <v/>
      </c>
      <c r="K439" s="18" t="str">
        <f t="shared" si="39"/>
        <v/>
      </c>
      <c r="L439" s="16" t="str">
        <f t="shared" ca="1" si="40"/>
        <v/>
      </c>
      <c r="M439" s="25" t="str">
        <f>IF(H439="","",IF(I439&lt;=0,"Shipped",IF(L439&lt;=AGE30,"Fresh",IF(L439&lt;=AGE60,"Watch",IF(L439&lt;=AGE90,"Aging","Old")))))</f>
        <v/>
      </c>
      <c r="N439" s="16" t="str">
        <f t="shared" si="41"/>
        <v/>
      </c>
    </row>
    <row r="440" spans="1:14" x14ac:dyDescent="0.2">
      <c r="A440" s="32"/>
      <c r="B440" s="27"/>
      <c r="C440" s="15" t="str">
        <f>IF(B440="","",IFERROR(INDEX(Items!$B$5:$B$19,MATCH(B440,Items!$A$5:$A$19,0)),"Unknown code"))</f>
        <v/>
      </c>
      <c r="D440" s="29"/>
      <c r="E440" s="18" t="str">
        <f>IF(B440="","",IFERROR(INDEX(Items!$C$5:$C$19,MATCH(B440,Items!$A$5:$A$19,0)),""))</f>
        <v/>
      </c>
      <c r="F440" s="18" t="str">
        <f t="shared" si="36"/>
        <v/>
      </c>
      <c r="G440" s="27"/>
      <c r="H440" s="23" t="str">
        <f>IF(OR(A440="",B440="",D440=""),"",IFERROR(INDEX(Items!$D$5:$D$19,MATCH(B440,Items!$A$5:$A$19,0))+SUMIFS(D$4:D439,B$4:B439,B440),""))</f>
        <v/>
      </c>
      <c r="I440" s="23" t="str">
        <f t="shared" si="37"/>
        <v/>
      </c>
      <c r="J440" s="23" t="str">
        <f t="shared" si="38"/>
        <v/>
      </c>
      <c r="K440" s="18" t="str">
        <f t="shared" si="39"/>
        <v/>
      </c>
      <c r="L440" s="16" t="str">
        <f t="shared" ca="1" si="40"/>
        <v/>
      </c>
      <c r="M440" s="25" t="str">
        <f>IF(H440="","",IF(I440&lt;=0,"Shipped",IF(L440&lt;=AGE30,"Fresh",IF(L440&lt;=AGE60,"Watch",IF(L440&lt;=AGE90,"Aging","Old")))))</f>
        <v/>
      </c>
      <c r="N440" s="16" t="str">
        <f t="shared" si="41"/>
        <v/>
      </c>
    </row>
    <row r="441" spans="1:14" x14ac:dyDescent="0.2">
      <c r="A441" s="32"/>
      <c r="B441" s="27"/>
      <c r="C441" s="15" t="str">
        <f>IF(B441="","",IFERROR(INDEX(Items!$B$5:$B$19,MATCH(B441,Items!$A$5:$A$19,0)),"Unknown code"))</f>
        <v/>
      </c>
      <c r="D441" s="29"/>
      <c r="E441" s="18" t="str">
        <f>IF(B441="","",IFERROR(INDEX(Items!$C$5:$C$19,MATCH(B441,Items!$A$5:$A$19,0)),""))</f>
        <v/>
      </c>
      <c r="F441" s="18" t="str">
        <f t="shared" si="36"/>
        <v/>
      </c>
      <c r="G441" s="27"/>
      <c r="H441" s="23" t="str">
        <f>IF(OR(A441="",B441="",D441=""),"",IFERROR(INDEX(Items!$D$5:$D$19,MATCH(B441,Items!$A$5:$A$19,0))+SUMIFS(D$4:D440,B$4:B440,B441),""))</f>
        <v/>
      </c>
      <c r="I441" s="23" t="str">
        <f t="shared" si="37"/>
        <v/>
      </c>
      <c r="J441" s="23" t="str">
        <f t="shared" si="38"/>
        <v/>
      </c>
      <c r="K441" s="18" t="str">
        <f t="shared" si="39"/>
        <v/>
      </c>
      <c r="L441" s="16" t="str">
        <f t="shared" ca="1" si="40"/>
        <v/>
      </c>
      <c r="M441" s="25" t="str">
        <f>IF(H441="","",IF(I441&lt;=0,"Shipped",IF(L441&lt;=AGE30,"Fresh",IF(L441&lt;=AGE60,"Watch",IF(L441&lt;=AGE90,"Aging","Old")))))</f>
        <v/>
      </c>
      <c r="N441" s="16" t="str">
        <f t="shared" si="41"/>
        <v/>
      </c>
    </row>
    <row r="442" spans="1:14" x14ac:dyDescent="0.2">
      <c r="A442" s="32"/>
      <c r="B442" s="27"/>
      <c r="C442" s="15" t="str">
        <f>IF(B442="","",IFERROR(INDEX(Items!$B$5:$B$19,MATCH(B442,Items!$A$5:$A$19,0)),"Unknown code"))</f>
        <v/>
      </c>
      <c r="D442" s="29"/>
      <c r="E442" s="18" t="str">
        <f>IF(B442="","",IFERROR(INDEX(Items!$C$5:$C$19,MATCH(B442,Items!$A$5:$A$19,0)),""))</f>
        <v/>
      </c>
      <c r="F442" s="18" t="str">
        <f t="shared" si="36"/>
        <v/>
      </c>
      <c r="G442" s="27"/>
      <c r="H442" s="23" t="str">
        <f>IF(OR(A442="",B442="",D442=""),"",IFERROR(INDEX(Items!$D$5:$D$19,MATCH(B442,Items!$A$5:$A$19,0))+SUMIFS(D$4:D441,B$4:B441,B442),""))</f>
        <v/>
      </c>
      <c r="I442" s="23" t="str">
        <f t="shared" si="37"/>
        <v/>
      </c>
      <c r="J442" s="23" t="str">
        <f t="shared" si="38"/>
        <v/>
      </c>
      <c r="K442" s="18" t="str">
        <f t="shared" si="39"/>
        <v/>
      </c>
      <c r="L442" s="16" t="str">
        <f t="shared" ca="1" si="40"/>
        <v/>
      </c>
      <c r="M442" s="25" t="str">
        <f>IF(H442="","",IF(I442&lt;=0,"Shipped",IF(L442&lt;=AGE30,"Fresh",IF(L442&lt;=AGE60,"Watch",IF(L442&lt;=AGE90,"Aging","Old")))))</f>
        <v/>
      </c>
      <c r="N442" s="16" t="str">
        <f t="shared" si="41"/>
        <v/>
      </c>
    </row>
    <row r="443" spans="1:14" x14ac:dyDescent="0.2">
      <c r="A443" s="32"/>
      <c r="B443" s="27"/>
      <c r="C443" s="15" t="str">
        <f>IF(B443="","",IFERROR(INDEX(Items!$B$5:$B$19,MATCH(B443,Items!$A$5:$A$19,0)),"Unknown code"))</f>
        <v/>
      </c>
      <c r="D443" s="29"/>
      <c r="E443" s="18" t="str">
        <f>IF(B443="","",IFERROR(INDEX(Items!$C$5:$C$19,MATCH(B443,Items!$A$5:$A$19,0)),""))</f>
        <v/>
      </c>
      <c r="F443" s="18" t="str">
        <f t="shared" si="36"/>
        <v/>
      </c>
      <c r="G443" s="27"/>
      <c r="H443" s="23" t="str">
        <f>IF(OR(A443="",B443="",D443=""),"",IFERROR(INDEX(Items!$D$5:$D$19,MATCH(B443,Items!$A$5:$A$19,0))+SUMIFS(D$4:D442,B$4:B442,B443),""))</f>
        <v/>
      </c>
      <c r="I443" s="23" t="str">
        <f t="shared" si="37"/>
        <v/>
      </c>
      <c r="J443" s="23" t="str">
        <f t="shared" si="38"/>
        <v/>
      </c>
      <c r="K443" s="18" t="str">
        <f t="shared" si="39"/>
        <v/>
      </c>
      <c r="L443" s="16" t="str">
        <f t="shared" ca="1" si="40"/>
        <v/>
      </c>
      <c r="M443" s="25" t="str">
        <f>IF(H443="","",IF(I443&lt;=0,"Shipped",IF(L443&lt;=AGE30,"Fresh",IF(L443&lt;=AGE60,"Watch",IF(L443&lt;=AGE90,"Aging","Old")))))</f>
        <v/>
      </c>
      <c r="N443" s="16" t="str">
        <f t="shared" si="41"/>
        <v/>
      </c>
    </row>
    <row r="444" spans="1:14" x14ac:dyDescent="0.2">
      <c r="A444" s="32"/>
      <c r="B444" s="27"/>
      <c r="C444" s="15" t="str">
        <f>IF(B444="","",IFERROR(INDEX(Items!$B$5:$B$19,MATCH(B444,Items!$A$5:$A$19,0)),"Unknown code"))</f>
        <v/>
      </c>
      <c r="D444" s="29"/>
      <c r="E444" s="18" t="str">
        <f>IF(B444="","",IFERROR(INDEX(Items!$C$5:$C$19,MATCH(B444,Items!$A$5:$A$19,0)),""))</f>
        <v/>
      </c>
      <c r="F444" s="18" t="str">
        <f t="shared" si="36"/>
        <v/>
      </c>
      <c r="G444" s="27"/>
      <c r="H444" s="23" t="str">
        <f>IF(OR(A444="",B444="",D444=""),"",IFERROR(INDEX(Items!$D$5:$D$19,MATCH(B444,Items!$A$5:$A$19,0))+SUMIFS(D$4:D443,B$4:B443,B444),""))</f>
        <v/>
      </c>
      <c r="I444" s="23" t="str">
        <f t="shared" si="37"/>
        <v/>
      </c>
      <c r="J444" s="23" t="str">
        <f t="shared" si="38"/>
        <v/>
      </c>
      <c r="K444" s="18" t="str">
        <f t="shared" si="39"/>
        <v/>
      </c>
      <c r="L444" s="16" t="str">
        <f t="shared" ca="1" si="40"/>
        <v/>
      </c>
      <c r="M444" s="25" t="str">
        <f>IF(H444="","",IF(I444&lt;=0,"Shipped",IF(L444&lt;=AGE30,"Fresh",IF(L444&lt;=AGE60,"Watch",IF(L444&lt;=AGE90,"Aging","Old")))))</f>
        <v/>
      </c>
      <c r="N444" s="16" t="str">
        <f t="shared" si="41"/>
        <v/>
      </c>
    </row>
    <row r="445" spans="1:14" x14ac:dyDescent="0.2">
      <c r="A445" s="32"/>
      <c r="B445" s="27"/>
      <c r="C445" s="15" t="str">
        <f>IF(B445="","",IFERROR(INDEX(Items!$B$5:$B$19,MATCH(B445,Items!$A$5:$A$19,0)),"Unknown code"))</f>
        <v/>
      </c>
      <c r="D445" s="29"/>
      <c r="E445" s="18" t="str">
        <f>IF(B445="","",IFERROR(INDEX(Items!$C$5:$C$19,MATCH(B445,Items!$A$5:$A$19,0)),""))</f>
        <v/>
      </c>
      <c r="F445" s="18" t="str">
        <f t="shared" si="36"/>
        <v/>
      </c>
      <c r="G445" s="27"/>
      <c r="H445" s="23" t="str">
        <f>IF(OR(A445="",B445="",D445=""),"",IFERROR(INDEX(Items!$D$5:$D$19,MATCH(B445,Items!$A$5:$A$19,0))+SUMIFS(D$4:D444,B$4:B444,B445),""))</f>
        <v/>
      </c>
      <c r="I445" s="23" t="str">
        <f t="shared" si="37"/>
        <v/>
      </c>
      <c r="J445" s="23" t="str">
        <f t="shared" si="38"/>
        <v/>
      </c>
      <c r="K445" s="18" t="str">
        <f t="shared" si="39"/>
        <v/>
      </c>
      <c r="L445" s="16" t="str">
        <f t="shared" ca="1" si="40"/>
        <v/>
      </c>
      <c r="M445" s="25" t="str">
        <f>IF(H445="","",IF(I445&lt;=0,"Shipped",IF(L445&lt;=AGE30,"Fresh",IF(L445&lt;=AGE60,"Watch",IF(L445&lt;=AGE90,"Aging","Old")))))</f>
        <v/>
      </c>
      <c r="N445" s="16" t="str">
        <f t="shared" si="41"/>
        <v/>
      </c>
    </row>
    <row r="446" spans="1:14" x14ac:dyDescent="0.2">
      <c r="A446" s="32"/>
      <c r="B446" s="27"/>
      <c r="C446" s="15" t="str">
        <f>IF(B446="","",IFERROR(INDEX(Items!$B$5:$B$19,MATCH(B446,Items!$A$5:$A$19,0)),"Unknown code"))</f>
        <v/>
      </c>
      <c r="D446" s="29"/>
      <c r="E446" s="18" t="str">
        <f>IF(B446="","",IFERROR(INDEX(Items!$C$5:$C$19,MATCH(B446,Items!$A$5:$A$19,0)),""))</f>
        <v/>
      </c>
      <c r="F446" s="18" t="str">
        <f t="shared" si="36"/>
        <v/>
      </c>
      <c r="G446" s="27"/>
      <c r="H446" s="23" t="str">
        <f>IF(OR(A446="",B446="",D446=""),"",IFERROR(INDEX(Items!$D$5:$D$19,MATCH(B446,Items!$A$5:$A$19,0))+SUMIFS(D$4:D445,B$4:B445,B446),""))</f>
        <v/>
      </c>
      <c r="I446" s="23" t="str">
        <f t="shared" si="37"/>
        <v/>
      </c>
      <c r="J446" s="23" t="str">
        <f t="shared" si="38"/>
        <v/>
      </c>
      <c r="K446" s="18" t="str">
        <f t="shared" si="39"/>
        <v/>
      </c>
      <c r="L446" s="16" t="str">
        <f t="shared" ca="1" si="40"/>
        <v/>
      </c>
      <c r="M446" s="25" t="str">
        <f>IF(H446="","",IF(I446&lt;=0,"Shipped",IF(L446&lt;=AGE30,"Fresh",IF(L446&lt;=AGE60,"Watch",IF(L446&lt;=AGE90,"Aging","Old")))))</f>
        <v/>
      </c>
      <c r="N446" s="16" t="str">
        <f t="shared" si="41"/>
        <v/>
      </c>
    </row>
    <row r="447" spans="1:14" x14ac:dyDescent="0.2">
      <c r="A447" s="32"/>
      <c r="B447" s="27"/>
      <c r="C447" s="15" t="str">
        <f>IF(B447="","",IFERROR(INDEX(Items!$B$5:$B$19,MATCH(B447,Items!$A$5:$A$19,0)),"Unknown code"))</f>
        <v/>
      </c>
      <c r="D447" s="29"/>
      <c r="E447" s="18" t="str">
        <f>IF(B447="","",IFERROR(INDEX(Items!$C$5:$C$19,MATCH(B447,Items!$A$5:$A$19,0)),""))</f>
        <v/>
      </c>
      <c r="F447" s="18" t="str">
        <f t="shared" si="36"/>
        <v/>
      </c>
      <c r="G447" s="27"/>
      <c r="H447" s="23" t="str">
        <f>IF(OR(A447="",B447="",D447=""),"",IFERROR(INDEX(Items!$D$5:$D$19,MATCH(B447,Items!$A$5:$A$19,0))+SUMIFS(D$4:D446,B$4:B446,B447),""))</f>
        <v/>
      </c>
      <c r="I447" s="23" t="str">
        <f t="shared" si="37"/>
        <v/>
      </c>
      <c r="J447" s="23" t="str">
        <f t="shared" si="38"/>
        <v/>
      </c>
      <c r="K447" s="18" t="str">
        <f t="shared" si="39"/>
        <v/>
      </c>
      <c r="L447" s="16" t="str">
        <f t="shared" ca="1" si="40"/>
        <v/>
      </c>
      <c r="M447" s="25" t="str">
        <f>IF(H447="","",IF(I447&lt;=0,"Shipped",IF(L447&lt;=AGE30,"Fresh",IF(L447&lt;=AGE60,"Watch",IF(L447&lt;=AGE90,"Aging","Old")))))</f>
        <v/>
      </c>
      <c r="N447" s="16" t="str">
        <f t="shared" si="41"/>
        <v/>
      </c>
    </row>
    <row r="448" spans="1:14" x14ac:dyDescent="0.2">
      <c r="A448" s="32"/>
      <c r="B448" s="27"/>
      <c r="C448" s="15" t="str">
        <f>IF(B448="","",IFERROR(INDEX(Items!$B$5:$B$19,MATCH(B448,Items!$A$5:$A$19,0)),"Unknown code"))</f>
        <v/>
      </c>
      <c r="D448" s="29"/>
      <c r="E448" s="18" t="str">
        <f>IF(B448="","",IFERROR(INDEX(Items!$C$5:$C$19,MATCH(B448,Items!$A$5:$A$19,0)),""))</f>
        <v/>
      </c>
      <c r="F448" s="18" t="str">
        <f t="shared" si="36"/>
        <v/>
      </c>
      <c r="G448" s="27"/>
      <c r="H448" s="23" t="str">
        <f>IF(OR(A448="",B448="",D448=""),"",IFERROR(INDEX(Items!$D$5:$D$19,MATCH(B448,Items!$A$5:$A$19,0))+SUMIFS(D$4:D447,B$4:B447,B448),""))</f>
        <v/>
      </c>
      <c r="I448" s="23" t="str">
        <f t="shared" si="37"/>
        <v/>
      </c>
      <c r="J448" s="23" t="str">
        <f t="shared" si="38"/>
        <v/>
      </c>
      <c r="K448" s="18" t="str">
        <f t="shared" si="39"/>
        <v/>
      </c>
      <c r="L448" s="16" t="str">
        <f t="shared" ca="1" si="40"/>
        <v/>
      </c>
      <c r="M448" s="25" t="str">
        <f>IF(H448="","",IF(I448&lt;=0,"Shipped",IF(L448&lt;=AGE30,"Fresh",IF(L448&lt;=AGE60,"Watch",IF(L448&lt;=AGE90,"Aging","Old")))))</f>
        <v/>
      </c>
      <c r="N448" s="16" t="str">
        <f t="shared" si="41"/>
        <v/>
      </c>
    </row>
    <row r="449" spans="1:14" x14ac:dyDescent="0.2">
      <c r="A449" s="32"/>
      <c r="B449" s="27"/>
      <c r="C449" s="15" t="str">
        <f>IF(B449="","",IFERROR(INDEX(Items!$B$5:$B$19,MATCH(B449,Items!$A$5:$A$19,0)),"Unknown code"))</f>
        <v/>
      </c>
      <c r="D449" s="29"/>
      <c r="E449" s="18" t="str">
        <f>IF(B449="","",IFERROR(INDEX(Items!$C$5:$C$19,MATCH(B449,Items!$A$5:$A$19,0)),""))</f>
        <v/>
      </c>
      <c r="F449" s="18" t="str">
        <f t="shared" si="36"/>
        <v/>
      </c>
      <c r="G449" s="27"/>
      <c r="H449" s="23" t="str">
        <f>IF(OR(A449="",B449="",D449=""),"",IFERROR(INDEX(Items!$D$5:$D$19,MATCH(B449,Items!$A$5:$A$19,0))+SUMIFS(D$4:D448,B$4:B448,B449),""))</f>
        <v/>
      </c>
      <c r="I449" s="23" t="str">
        <f t="shared" si="37"/>
        <v/>
      </c>
      <c r="J449" s="23" t="str">
        <f t="shared" si="38"/>
        <v/>
      </c>
      <c r="K449" s="18" t="str">
        <f t="shared" si="39"/>
        <v/>
      </c>
      <c r="L449" s="16" t="str">
        <f t="shared" ca="1" si="40"/>
        <v/>
      </c>
      <c r="M449" s="25" t="str">
        <f>IF(H449="","",IF(I449&lt;=0,"Shipped",IF(L449&lt;=AGE30,"Fresh",IF(L449&lt;=AGE60,"Watch",IF(L449&lt;=AGE90,"Aging","Old")))))</f>
        <v/>
      </c>
      <c r="N449" s="16" t="str">
        <f t="shared" si="41"/>
        <v/>
      </c>
    </row>
    <row r="450" spans="1:14" x14ac:dyDescent="0.2">
      <c r="A450" s="32"/>
      <c r="B450" s="27"/>
      <c r="C450" s="15" t="str">
        <f>IF(B450="","",IFERROR(INDEX(Items!$B$5:$B$19,MATCH(B450,Items!$A$5:$A$19,0)),"Unknown code"))</f>
        <v/>
      </c>
      <c r="D450" s="29"/>
      <c r="E450" s="18" t="str">
        <f>IF(B450="","",IFERROR(INDEX(Items!$C$5:$C$19,MATCH(B450,Items!$A$5:$A$19,0)),""))</f>
        <v/>
      </c>
      <c r="F450" s="18" t="str">
        <f t="shared" si="36"/>
        <v/>
      </c>
      <c r="G450" s="27"/>
      <c r="H450" s="23" t="str">
        <f>IF(OR(A450="",B450="",D450=""),"",IFERROR(INDEX(Items!$D$5:$D$19,MATCH(B450,Items!$A$5:$A$19,0))+SUMIFS(D$4:D449,B$4:B449,B450),""))</f>
        <v/>
      </c>
      <c r="I450" s="23" t="str">
        <f t="shared" si="37"/>
        <v/>
      </c>
      <c r="J450" s="23" t="str">
        <f t="shared" si="38"/>
        <v/>
      </c>
      <c r="K450" s="18" t="str">
        <f t="shared" si="39"/>
        <v/>
      </c>
      <c r="L450" s="16" t="str">
        <f t="shared" ca="1" si="40"/>
        <v/>
      </c>
      <c r="M450" s="25" t="str">
        <f>IF(H450="","",IF(I450&lt;=0,"Shipped",IF(L450&lt;=AGE30,"Fresh",IF(L450&lt;=AGE60,"Watch",IF(L450&lt;=AGE90,"Aging","Old")))))</f>
        <v/>
      </c>
      <c r="N450" s="16" t="str">
        <f t="shared" si="41"/>
        <v/>
      </c>
    </row>
    <row r="451" spans="1:14" x14ac:dyDescent="0.2">
      <c r="A451" s="32"/>
      <c r="B451" s="27"/>
      <c r="C451" s="15" t="str">
        <f>IF(B451="","",IFERROR(INDEX(Items!$B$5:$B$19,MATCH(B451,Items!$A$5:$A$19,0)),"Unknown code"))</f>
        <v/>
      </c>
      <c r="D451" s="29"/>
      <c r="E451" s="18" t="str">
        <f>IF(B451="","",IFERROR(INDEX(Items!$C$5:$C$19,MATCH(B451,Items!$A$5:$A$19,0)),""))</f>
        <v/>
      </c>
      <c r="F451" s="18" t="str">
        <f t="shared" si="36"/>
        <v/>
      </c>
      <c r="G451" s="27"/>
      <c r="H451" s="23" t="str">
        <f>IF(OR(A451="",B451="",D451=""),"",IFERROR(INDEX(Items!$D$5:$D$19,MATCH(B451,Items!$A$5:$A$19,0))+SUMIFS(D$4:D450,B$4:B450,B451),""))</f>
        <v/>
      </c>
      <c r="I451" s="23" t="str">
        <f t="shared" si="37"/>
        <v/>
      </c>
      <c r="J451" s="23" t="str">
        <f t="shared" si="38"/>
        <v/>
      </c>
      <c r="K451" s="18" t="str">
        <f t="shared" si="39"/>
        <v/>
      </c>
      <c r="L451" s="16" t="str">
        <f t="shared" ca="1" si="40"/>
        <v/>
      </c>
      <c r="M451" s="25" t="str">
        <f>IF(H451="","",IF(I451&lt;=0,"Shipped",IF(L451&lt;=AGE30,"Fresh",IF(L451&lt;=AGE60,"Watch",IF(L451&lt;=AGE90,"Aging","Old")))))</f>
        <v/>
      </c>
      <c r="N451" s="16" t="str">
        <f t="shared" si="41"/>
        <v/>
      </c>
    </row>
    <row r="452" spans="1:14" x14ac:dyDescent="0.2">
      <c r="A452" s="32"/>
      <c r="B452" s="27"/>
      <c r="C452" s="15" t="str">
        <f>IF(B452="","",IFERROR(INDEX(Items!$B$5:$B$19,MATCH(B452,Items!$A$5:$A$19,0)),"Unknown code"))</f>
        <v/>
      </c>
      <c r="D452" s="29"/>
      <c r="E452" s="18" t="str">
        <f>IF(B452="","",IFERROR(INDEX(Items!$C$5:$C$19,MATCH(B452,Items!$A$5:$A$19,0)),""))</f>
        <v/>
      </c>
      <c r="F452" s="18" t="str">
        <f t="shared" si="36"/>
        <v/>
      </c>
      <c r="G452" s="27"/>
      <c r="H452" s="23" t="str">
        <f>IF(OR(A452="",B452="",D452=""),"",IFERROR(INDEX(Items!$D$5:$D$19,MATCH(B452,Items!$A$5:$A$19,0))+SUMIFS(D$4:D451,B$4:B451,B452),""))</f>
        <v/>
      </c>
      <c r="I452" s="23" t="str">
        <f t="shared" si="37"/>
        <v/>
      </c>
      <c r="J452" s="23" t="str">
        <f t="shared" si="38"/>
        <v/>
      </c>
      <c r="K452" s="18" t="str">
        <f t="shared" si="39"/>
        <v/>
      </c>
      <c r="L452" s="16" t="str">
        <f t="shared" ca="1" si="40"/>
        <v/>
      </c>
      <c r="M452" s="25" t="str">
        <f>IF(H452="","",IF(I452&lt;=0,"Shipped",IF(L452&lt;=AGE30,"Fresh",IF(L452&lt;=AGE60,"Watch",IF(L452&lt;=AGE90,"Aging","Old")))))</f>
        <v/>
      </c>
      <c r="N452" s="16" t="str">
        <f t="shared" si="41"/>
        <v/>
      </c>
    </row>
    <row r="453" spans="1:14" x14ac:dyDescent="0.2">
      <c r="A453" s="32"/>
      <c r="B453" s="27"/>
      <c r="C453" s="15" t="str">
        <f>IF(B453="","",IFERROR(INDEX(Items!$B$5:$B$19,MATCH(B453,Items!$A$5:$A$19,0)),"Unknown code"))</f>
        <v/>
      </c>
      <c r="D453" s="29"/>
      <c r="E453" s="18" t="str">
        <f>IF(B453="","",IFERROR(INDEX(Items!$C$5:$C$19,MATCH(B453,Items!$A$5:$A$19,0)),""))</f>
        <v/>
      </c>
      <c r="F453" s="18" t="str">
        <f t="shared" ref="F453:F516" si="42">IF(OR(D453="",E453=""),"",D453*E453)</f>
        <v/>
      </c>
      <c r="G453" s="27"/>
      <c r="H453" s="23" t="str">
        <f>IF(OR(A453="",B453="",D453=""),"",IFERROR(INDEX(Items!$D$5:$D$19,MATCH(B453,Items!$A$5:$A$19,0))+SUMIFS(D$4:D452,B$4:B452,B453),""))</f>
        <v/>
      </c>
      <c r="I453" s="23" t="str">
        <f t="shared" ref="I453:I516" si="43">IF(H453="","",MAX(0,MIN(D453,H453+D453-TotalShipped)))</f>
        <v/>
      </c>
      <c r="J453" s="23" t="str">
        <f t="shared" ref="J453:J516" si="44">IF(H453="","",D453-I453)</f>
        <v/>
      </c>
      <c r="K453" s="18" t="str">
        <f t="shared" ref="K453:K516" si="45">IF(OR(H453="",E453=""),"",I453*E453)</f>
        <v/>
      </c>
      <c r="L453" s="16" t="str">
        <f t="shared" ref="L453:L516" ca="1" si="46">IF(H453="","",IF(I453&gt;0,TODAY()-A453,""))</f>
        <v/>
      </c>
      <c r="M453" s="25" t="str">
        <f>IF(H453="","",IF(I453&lt;=0,"Shipped",IF(L453&lt;=AGE30,"Fresh",IF(L453&lt;=AGE60,"Watch",IF(L453&lt;=AGE90,"Aging","Old")))))</f>
        <v/>
      </c>
      <c r="N453" s="16" t="str">
        <f t="shared" ref="N453:N516" si="47">IF(H453="","",J453*A453)</f>
        <v/>
      </c>
    </row>
    <row r="454" spans="1:14" x14ac:dyDescent="0.2">
      <c r="A454" s="32"/>
      <c r="B454" s="27"/>
      <c r="C454" s="15" t="str">
        <f>IF(B454="","",IFERROR(INDEX(Items!$B$5:$B$19,MATCH(B454,Items!$A$5:$A$19,0)),"Unknown code"))</f>
        <v/>
      </c>
      <c r="D454" s="29"/>
      <c r="E454" s="18" t="str">
        <f>IF(B454="","",IFERROR(INDEX(Items!$C$5:$C$19,MATCH(B454,Items!$A$5:$A$19,0)),""))</f>
        <v/>
      </c>
      <c r="F454" s="18" t="str">
        <f t="shared" si="42"/>
        <v/>
      </c>
      <c r="G454" s="27"/>
      <c r="H454" s="23" t="str">
        <f>IF(OR(A454="",B454="",D454=""),"",IFERROR(INDEX(Items!$D$5:$D$19,MATCH(B454,Items!$A$5:$A$19,0))+SUMIFS(D$4:D453,B$4:B453,B454),""))</f>
        <v/>
      </c>
      <c r="I454" s="23" t="str">
        <f t="shared" si="43"/>
        <v/>
      </c>
      <c r="J454" s="23" t="str">
        <f t="shared" si="44"/>
        <v/>
      </c>
      <c r="K454" s="18" t="str">
        <f t="shared" si="45"/>
        <v/>
      </c>
      <c r="L454" s="16" t="str">
        <f t="shared" ca="1" si="46"/>
        <v/>
      </c>
      <c r="M454" s="25" t="str">
        <f>IF(H454="","",IF(I454&lt;=0,"Shipped",IF(L454&lt;=AGE30,"Fresh",IF(L454&lt;=AGE60,"Watch",IF(L454&lt;=AGE90,"Aging","Old")))))</f>
        <v/>
      </c>
      <c r="N454" s="16" t="str">
        <f t="shared" si="47"/>
        <v/>
      </c>
    </row>
    <row r="455" spans="1:14" x14ac:dyDescent="0.2">
      <c r="A455" s="32"/>
      <c r="B455" s="27"/>
      <c r="C455" s="15" t="str">
        <f>IF(B455="","",IFERROR(INDEX(Items!$B$5:$B$19,MATCH(B455,Items!$A$5:$A$19,0)),"Unknown code"))</f>
        <v/>
      </c>
      <c r="D455" s="29"/>
      <c r="E455" s="18" t="str">
        <f>IF(B455="","",IFERROR(INDEX(Items!$C$5:$C$19,MATCH(B455,Items!$A$5:$A$19,0)),""))</f>
        <v/>
      </c>
      <c r="F455" s="18" t="str">
        <f t="shared" si="42"/>
        <v/>
      </c>
      <c r="G455" s="27"/>
      <c r="H455" s="23" t="str">
        <f>IF(OR(A455="",B455="",D455=""),"",IFERROR(INDEX(Items!$D$5:$D$19,MATCH(B455,Items!$A$5:$A$19,0))+SUMIFS(D$4:D454,B$4:B454,B455),""))</f>
        <v/>
      </c>
      <c r="I455" s="23" t="str">
        <f t="shared" si="43"/>
        <v/>
      </c>
      <c r="J455" s="23" t="str">
        <f t="shared" si="44"/>
        <v/>
      </c>
      <c r="K455" s="18" t="str">
        <f t="shared" si="45"/>
        <v/>
      </c>
      <c r="L455" s="16" t="str">
        <f t="shared" ca="1" si="46"/>
        <v/>
      </c>
      <c r="M455" s="25" t="str">
        <f>IF(H455="","",IF(I455&lt;=0,"Shipped",IF(L455&lt;=AGE30,"Fresh",IF(L455&lt;=AGE60,"Watch",IF(L455&lt;=AGE90,"Aging","Old")))))</f>
        <v/>
      </c>
      <c r="N455" s="16" t="str">
        <f t="shared" si="47"/>
        <v/>
      </c>
    </row>
    <row r="456" spans="1:14" x14ac:dyDescent="0.2">
      <c r="A456" s="32"/>
      <c r="B456" s="27"/>
      <c r="C456" s="15" t="str">
        <f>IF(B456="","",IFERROR(INDEX(Items!$B$5:$B$19,MATCH(B456,Items!$A$5:$A$19,0)),"Unknown code"))</f>
        <v/>
      </c>
      <c r="D456" s="29"/>
      <c r="E456" s="18" t="str">
        <f>IF(B456="","",IFERROR(INDEX(Items!$C$5:$C$19,MATCH(B456,Items!$A$5:$A$19,0)),""))</f>
        <v/>
      </c>
      <c r="F456" s="18" t="str">
        <f t="shared" si="42"/>
        <v/>
      </c>
      <c r="G456" s="27"/>
      <c r="H456" s="23" t="str">
        <f>IF(OR(A456="",B456="",D456=""),"",IFERROR(INDEX(Items!$D$5:$D$19,MATCH(B456,Items!$A$5:$A$19,0))+SUMIFS(D$4:D455,B$4:B455,B456),""))</f>
        <v/>
      </c>
      <c r="I456" s="23" t="str">
        <f t="shared" si="43"/>
        <v/>
      </c>
      <c r="J456" s="23" t="str">
        <f t="shared" si="44"/>
        <v/>
      </c>
      <c r="K456" s="18" t="str">
        <f t="shared" si="45"/>
        <v/>
      </c>
      <c r="L456" s="16" t="str">
        <f t="shared" ca="1" si="46"/>
        <v/>
      </c>
      <c r="M456" s="25" t="str">
        <f>IF(H456="","",IF(I456&lt;=0,"Shipped",IF(L456&lt;=AGE30,"Fresh",IF(L456&lt;=AGE60,"Watch",IF(L456&lt;=AGE90,"Aging","Old")))))</f>
        <v/>
      </c>
      <c r="N456" s="16" t="str">
        <f t="shared" si="47"/>
        <v/>
      </c>
    </row>
    <row r="457" spans="1:14" x14ac:dyDescent="0.2">
      <c r="A457" s="32"/>
      <c r="B457" s="27"/>
      <c r="C457" s="15" t="str">
        <f>IF(B457="","",IFERROR(INDEX(Items!$B$5:$B$19,MATCH(B457,Items!$A$5:$A$19,0)),"Unknown code"))</f>
        <v/>
      </c>
      <c r="D457" s="29"/>
      <c r="E457" s="18" t="str">
        <f>IF(B457="","",IFERROR(INDEX(Items!$C$5:$C$19,MATCH(B457,Items!$A$5:$A$19,0)),""))</f>
        <v/>
      </c>
      <c r="F457" s="18" t="str">
        <f t="shared" si="42"/>
        <v/>
      </c>
      <c r="G457" s="27"/>
      <c r="H457" s="23" t="str">
        <f>IF(OR(A457="",B457="",D457=""),"",IFERROR(INDEX(Items!$D$5:$D$19,MATCH(B457,Items!$A$5:$A$19,0))+SUMIFS(D$4:D456,B$4:B456,B457),""))</f>
        <v/>
      </c>
      <c r="I457" s="23" t="str">
        <f t="shared" si="43"/>
        <v/>
      </c>
      <c r="J457" s="23" t="str">
        <f t="shared" si="44"/>
        <v/>
      </c>
      <c r="K457" s="18" t="str">
        <f t="shared" si="45"/>
        <v/>
      </c>
      <c r="L457" s="16" t="str">
        <f t="shared" ca="1" si="46"/>
        <v/>
      </c>
      <c r="M457" s="25" t="str">
        <f>IF(H457="","",IF(I457&lt;=0,"Shipped",IF(L457&lt;=AGE30,"Fresh",IF(L457&lt;=AGE60,"Watch",IF(L457&lt;=AGE90,"Aging","Old")))))</f>
        <v/>
      </c>
      <c r="N457" s="16" t="str">
        <f t="shared" si="47"/>
        <v/>
      </c>
    </row>
    <row r="458" spans="1:14" x14ac:dyDescent="0.2">
      <c r="A458" s="32"/>
      <c r="B458" s="27"/>
      <c r="C458" s="15" t="str">
        <f>IF(B458="","",IFERROR(INDEX(Items!$B$5:$B$19,MATCH(B458,Items!$A$5:$A$19,0)),"Unknown code"))</f>
        <v/>
      </c>
      <c r="D458" s="29"/>
      <c r="E458" s="18" t="str">
        <f>IF(B458="","",IFERROR(INDEX(Items!$C$5:$C$19,MATCH(B458,Items!$A$5:$A$19,0)),""))</f>
        <v/>
      </c>
      <c r="F458" s="18" t="str">
        <f t="shared" si="42"/>
        <v/>
      </c>
      <c r="G458" s="27"/>
      <c r="H458" s="23" t="str">
        <f>IF(OR(A458="",B458="",D458=""),"",IFERROR(INDEX(Items!$D$5:$D$19,MATCH(B458,Items!$A$5:$A$19,0))+SUMIFS(D$4:D457,B$4:B457,B458),""))</f>
        <v/>
      </c>
      <c r="I458" s="23" t="str">
        <f t="shared" si="43"/>
        <v/>
      </c>
      <c r="J458" s="23" t="str">
        <f t="shared" si="44"/>
        <v/>
      </c>
      <c r="K458" s="18" t="str">
        <f t="shared" si="45"/>
        <v/>
      </c>
      <c r="L458" s="16" t="str">
        <f t="shared" ca="1" si="46"/>
        <v/>
      </c>
      <c r="M458" s="25" t="str">
        <f>IF(H458="","",IF(I458&lt;=0,"Shipped",IF(L458&lt;=AGE30,"Fresh",IF(L458&lt;=AGE60,"Watch",IF(L458&lt;=AGE90,"Aging","Old")))))</f>
        <v/>
      </c>
      <c r="N458" s="16" t="str">
        <f t="shared" si="47"/>
        <v/>
      </c>
    </row>
    <row r="459" spans="1:14" x14ac:dyDescent="0.2">
      <c r="A459" s="32"/>
      <c r="B459" s="27"/>
      <c r="C459" s="15" t="str">
        <f>IF(B459="","",IFERROR(INDEX(Items!$B$5:$B$19,MATCH(B459,Items!$A$5:$A$19,0)),"Unknown code"))</f>
        <v/>
      </c>
      <c r="D459" s="29"/>
      <c r="E459" s="18" t="str">
        <f>IF(B459="","",IFERROR(INDEX(Items!$C$5:$C$19,MATCH(B459,Items!$A$5:$A$19,0)),""))</f>
        <v/>
      </c>
      <c r="F459" s="18" t="str">
        <f t="shared" si="42"/>
        <v/>
      </c>
      <c r="G459" s="27"/>
      <c r="H459" s="23" t="str">
        <f>IF(OR(A459="",B459="",D459=""),"",IFERROR(INDEX(Items!$D$5:$D$19,MATCH(B459,Items!$A$5:$A$19,0))+SUMIFS(D$4:D458,B$4:B458,B459),""))</f>
        <v/>
      </c>
      <c r="I459" s="23" t="str">
        <f t="shared" si="43"/>
        <v/>
      </c>
      <c r="J459" s="23" t="str">
        <f t="shared" si="44"/>
        <v/>
      </c>
      <c r="K459" s="18" t="str">
        <f t="shared" si="45"/>
        <v/>
      </c>
      <c r="L459" s="16" t="str">
        <f t="shared" ca="1" si="46"/>
        <v/>
      </c>
      <c r="M459" s="25" t="str">
        <f>IF(H459="","",IF(I459&lt;=0,"Shipped",IF(L459&lt;=AGE30,"Fresh",IF(L459&lt;=AGE60,"Watch",IF(L459&lt;=AGE90,"Aging","Old")))))</f>
        <v/>
      </c>
      <c r="N459" s="16" t="str">
        <f t="shared" si="47"/>
        <v/>
      </c>
    </row>
    <row r="460" spans="1:14" x14ac:dyDescent="0.2">
      <c r="A460" s="32"/>
      <c r="B460" s="27"/>
      <c r="C460" s="15" t="str">
        <f>IF(B460="","",IFERROR(INDEX(Items!$B$5:$B$19,MATCH(B460,Items!$A$5:$A$19,0)),"Unknown code"))</f>
        <v/>
      </c>
      <c r="D460" s="29"/>
      <c r="E460" s="18" t="str">
        <f>IF(B460="","",IFERROR(INDEX(Items!$C$5:$C$19,MATCH(B460,Items!$A$5:$A$19,0)),""))</f>
        <v/>
      </c>
      <c r="F460" s="18" t="str">
        <f t="shared" si="42"/>
        <v/>
      </c>
      <c r="G460" s="27"/>
      <c r="H460" s="23" t="str">
        <f>IF(OR(A460="",B460="",D460=""),"",IFERROR(INDEX(Items!$D$5:$D$19,MATCH(B460,Items!$A$5:$A$19,0))+SUMIFS(D$4:D459,B$4:B459,B460),""))</f>
        <v/>
      </c>
      <c r="I460" s="23" t="str">
        <f t="shared" si="43"/>
        <v/>
      </c>
      <c r="J460" s="23" t="str">
        <f t="shared" si="44"/>
        <v/>
      </c>
      <c r="K460" s="18" t="str">
        <f t="shared" si="45"/>
        <v/>
      </c>
      <c r="L460" s="16" t="str">
        <f t="shared" ca="1" si="46"/>
        <v/>
      </c>
      <c r="M460" s="25" t="str">
        <f>IF(H460="","",IF(I460&lt;=0,"Shipped",IF(L460&lt;=AGE30,"Fresh",IF(L460&lt;=AGE60,"Watch",IF(L460&lt;=AGE90,"Aging","Old")))))</f>
        <v/>
      </c>
      <c r="N460" s="16" t="str">
        <f t="shared" si="47"/>
        <v/>
      </c>
    </row>
    <row r="461" spans="1:14" x14ac:dyDescent="0.2">
      <c r="A461" s="32"/>
      <c r="B461" s="27"/>
      <c r="C461" s="15" t="str">
        <f>IF(B461="","",IFERROR(INDEX(Items!$B$5:$B$19,MATCH(B461,Items!$A$5:$A$19,0)),"Unknown code"))</f>
        <v/>
      </c>
      <c r="D461" s="29"/>
      <c r="E461" s="18" t="str">
        <f>IF(B461="","",IFERROR(INDEX(Items!$C$5:$C$19,MATCH(B461,Items!$A$5:$A$19,0)),""))</f>
        <v/>
      </c>
      <c r="F461" s="18" t="str">
        <f t="shared" si="42"/>
        <v/>
      </c>
      <c r="G461" s="27"/>
      <c r="H461" s="23" t="str">
        <f>IF(OR(A461="",B461="",D461=""),"",IFERROR(INDEX(Items!$D$5:$D$19,MATCH(B461,Items!$A$5:$A$19,0))+SUMIFS(D$4:D460,B$4:B460,B461),""))</f>
        <v/>
      </c>
      <c r="I461" s="23" t="str">
        <f t="shared" si="43"/>
        <v/>
      </c>
      <c r="J461" s="23" t="str">
        <f t="shared" si="44"/>
        <v/>
      </c>
      <c r="K461" s="18" t="str">
        <f t="shared" si="45"/>
        <v/>
      </c>
      <c r="L461" s="16" t="str">
        <f t="shared" ca="1" si="46"/>
        <v/>
      </c>
      <c r="M461" s="25" t="str">
        <f>IF(H461="","",IF(I461&lt;=0,"Shipped",IF(L461&lt;=AGE30,"Fresh",IF(L461&lt;=AGE60,"Watch",IF(L461&lt;=AGE90,"Aging","Old")))))</f>
        <v/>
      </c>
      <c r="N461" s="16" t="str">
        <f t="shared" si="47"/>
        <v/>
      </c>
    </row>
    <row r="462" spans="1:14" x14ac:dyDescent="0.2">
      <c r="A462" s="32"/>
      <c r="B462" s="27"/>
      <c r="C462" s="15" t="str">
        <f>IF(B462="","",IFERROR(INDEX(Items!$B$5:$B$19,MATCH(B462,Items!$A$5:$A$19,0)),"Unknown code"))</f>
        <v/>
      </c>
      <c r="D462" s="29"/>
      <c r="E462" s="18" t="str">
        <f>IF(B462="","",IFERROR(INDEX(Items!$C$5:$C$19,MATCH(B462,Items!$A$5:$A$19,0)),""))</f>
        <v/>
      </c>
      <c r="F462" s="18" t="str">
        <f t="shared" si="42"/>
        <v/>
      </c>
      <c r="G462" s="27"/>
      <c r="H462" s="23" t="str">
        <f>IF(OR(A462="",B462="",D462=""),"",IFERROR(INDEX(Items!$D$5:$D$19,MATCH(B462,Items!$A$5:$A$19,0))+SUMIFS(D$4:D461,B$4:B461,B462),""))</f>
        <v/>
      </c>
      <c r="I462" s="23" t="str">
        <f t="shared" si="43"/>
        <v/>
      </c>
      <c r="J462" s="23" t="str">
        <f t="shared" si="44"/>
        <v/>
      </c>
      <c r="K462" s="18" t="str">
        <f t="shared" si="45"/>
        <v/>
      </c>
      <c r="L462" s="16" t="str">
        <f t="shared" ca="1" si="46"/>
        <v/>
      </c>
      <c r="M462" s="25" t="str">
        <f>IF(H462="","",IF(I462&lt;=0,"Shipped",IF(L462&lt;=AGE30,"Fresh",IF(L462&lt;=AGE60,"Watch",IF(L462&lt;=AGE90,"Aging","Old")))))</f>
        <v/>
      </c>
      <c r="N462" s="16" t="str">
        <f t="shared" si="47"/>
        <v/>
      </c>
    </row>
    <row r="463" spans="1:14" x14ac:dyDescent="0.2">
      <c r="A463" s="32"/>
      <c r="B463" s="27"/>
      <c r="C463" s="15" t="str">
        <f>IF(B463="","",IFERROR(INDEX(Items!$B$5:$B$19,MATCH(B463,Items!$A$5:$A$19,0)),"Unknown code"))</f>
        <v/>
      </c>
      <c r="D463" s="29"/>
      <c r="E463" s="18" t="str">
        <f>IF(B463="","",IFERROR(INDEX(Items!$C$5:$C$19,MATCH(B463,Items!$A$5:$A$19,0)),""))</f>
        <v/>
      </c>
      <c r="F463" s="18" t="str">
        <f t="shared" si="42"/>
        <v/>
      </c>
      <c r="G463" s="27"/>
      <c r="H463" s="23" t="str">
        <f>IF(OR(A463="",B463="",D463=""),"",IFERROR(INDEX(Items!$D$5:$D$19,MATCH(B463,Items!$A$5:$A$19,0))+SUMIFS(D$4:D462,B$4:B462,B463),""))</f>
        <v/>
      </c>
      <c r="I463" s="23" t="str">
        <f t="shared" si="43"/>
        <v/>
      </c>
      <c r="J463" s="23" t="str">
        <f t="shared" si="44"/>
        <v/>
      </c>
      <c r="K463" s="18" t="str">
        <f t="shared" si="45"/>
        <v/>
      </c>
      <c r="L463" s="16" t="str">
        <f t="shared" ca="1" si="46"/>
        <v/>
      </c>
      <c r="M463" s="25" t="str">
        <f>IF(H463="","",IF(I463&lt;=0,"Shipped",IF(L463&lt;=AGE30,"Fresh",IF(L463&lt;=AGE60,"Watch",IF(L463&lt;=AGE90,"Aging","Old")))))</f>
        <v/>
      </c>
      <c r="N463" s="16" t="str">
        <f t="shared" si="47"/>
        <v/>
      </c>
    </row>
    <row r="464" spans="1:14" x14ac:dyDescent="0.2">
      <c r="A464" s="32"/>
      <c r="B464" s="27"/>
      <c r="C464" s="15" t="str">
        <f>IF(B464="","",IFERROR(INDEX(Items!$B$5:$B$19,MATCH(B464,Items!$A$5:$A$19,0)),"Unknown code"))</f>
        <v/>
      </c>
      <c r="D464" s="29"/>
      <c r="E464" s="18" t="str">
        <f>IF(B464="","",IFERROR(INDEX(Items!$C$5:$C$19,MATCH(B464,Items!$A$5:$A$19,0)),""))</f>
        <v/>
      </c>
      <c r="F464" s="18" t="str">
        <f t="shared" si="42"/>
        <v/>
      </c>
      <c r="G464" s="27"/>
      <c r="H464" s="23" t="str">
        <f>IF(OR(A464="",B464="",D464=""),"",IFERROR(INDEX(Items!$D$5:$D$19,MATCH(B464,Items!$A$5:$A$19,0))+SUMIFS(D$4:D463,B$4:B463,B464),""))</f>
        <v/>
      </c>
      <c r="I464" s="23" t="str">
        <f t="shared" si="43"/>
        <v/>
      </c>
      <c r="J464" s="23" t="str">
        <f t="shared" si="44"/>
        <v/>
      </c>
      <c r="K464" s="18" t="str">
        <f t="shared" si="45"/>
        <v/>
      </c>
      <c r="L464" s="16" t="str">
        <f t="shared" ca="1" si="46"/>
        <v/>
      </c>
      <c r="M464" s="25" t="str">
        <f>IF(H464="","",IF(I464&lt;=0,"Shipped",IF(L464&lt;=AGE30,"Fresh",IF(L464&lt;=AGE60,"Watch",IF(L464&lt;=AGE90,"Aging","Old")))))</f>
        <v/>
      </c>
      <c r="N464" s="16" t="str">
        <f t="shared" si="47"/>
        <v/>
      </c>
    </row>
    <row r="465" spans="1:14" x14ac:dyDescent="0.2">
      <c r="A465" s="32"/>
      <c r="B465" s="27"/>
      <c r="C465" s="15" t="str">
        <f>IF(B465="","",IFERROR(INDEX(Items!$B$5:$B$19,MATCH(B465,Items!$A$5:$A$19,0)),"Unknown code"))</f>
        <v/>
      </c>
      <c r="D465" s="29"/>
      <c r="E465" s="18" t="str">
        <f>IF(B465="","",IFERROR(INDEX(Items!$C$5:$C$19,MATCH(B465,Items!$A$5:$A$19,0)),""))</f>
        <v/>
      </c>
      <c r="F465" s="18" t="str">
        <f t="shared" si="42"/>
        <v/>
      </c>
      <c r="G465" s="27"/>
      <c r="H465" s="23" t="str">
        <f>IF(OR(A465="",B465="",D465=""),"",IFERROR(INDEX(Items!$D$5:$D$19,MATCH(B465,Items!$A$5:$A$19,0))+SUMIFS(D$4:D464,B$4:B464,B465),""))</f>
        <v/>
      </c>
      <c r="I465" s="23" t="str">
        <f t="shared" si="43"/>
        <v/>
      </c>
      <c r="J465" s="23" t="str">
        <f t="shared" si="44"/>
        <v/>
      </c>
      <c r="K465" s="18" t="str">
        <f t="shared" si="45"/>
        <v/>
      </c>
      <c r="L465" s="16" t="str">
        <f t="shared" ca="1" si="46"/>
        <v/>
      </c>
      <c r="M465" s="25" t="str">
        <f>IF(H465="","",IF(I465&lt;=0,"Shipped",IF(L465&lt;=AGE30,"Fresh",IF(L465&lt;=AGE60,"Watch",IF(L465&lt;=AGE90,"Aging","Old")))))</f>
        <v/>
      </c>
      <c r="N465" s="16" t="str">
        <f t="shared" si="47"/>
        <v/>
      </c>
    </row>
    <row r="466" spans="1:14" x14ac:dyDescent="0.2">
      <c r="A466" s="32"/>
      <c r="B466" s="27"/>
      <c r="C466" s="15" t="str">
        <f>IF(B466="","",IFERROR(INDEX(Items!$B$5:$B$19,MATCH(B466,Items!$A$5:$A$19,0)),"Unknown code"))</f>
        <v/>
      </c>
      <c r="D466" s="29"/>
      <c r="E466" s="18" t="str">
        <f>IF(B466="","",IFERROR(INDEX(Items!$C$5:$C$19,MATCH(B466,Items!$A$5:$A$19,0)),""))</f>
        <v/>
      </c>
      <c r="F466" s="18" t="str">
        <f t="shared" si="42"/>
        <v/>
      </c>
      <c r="G466" s="27"/>
      <c r="H466" s="23" t="str">
        <f>IF(OR(A466="",B466="",D466=""),"",IFERROR(INDEX(Items!$D$5:$D$19,MATCH(B466,Items!$A$5:$A$19,0))+SUMIFS(D$4:D465,B$4:B465,B466),""))</f>
        <v/>
      </c>
      <c r="I466" s="23" t="str">
        <f t="shared" si="43"/>
        <v/>
      </c>
      <c r="J466" s="23" t="str">
        <f t="shared" si="44"/>
        <v/>
      </c>
      <c r="K466" s="18" t="str">
        <f t="shared" si="45"/>
        <v/>
      </c>
      <c r="L466" s="16" t="str">
        <f t="shared" ca="1" si="46"/>
        <v/>
      </c>
      <c r="M466" s="25" t="str">
        <f>IF(H466="","",IF(I466&lt;=0,"Shipped",IF(L466&lt;=AGE30,"Fresh",IF(L466&lt;=AGE60,"Watch",IF(L466&lt;=AGE90,"Aging","Old")))))</f>
        <v/>
      </c>
      <c r="N466" s="16" t="str">
        <f t="shared" si="47"/>
        <v/>
      </c>
    </row>
    <row r="467" spans="1:14" x14ac:dyDescent="0.2">
      <c r="A467" s="32"/>
      <c r="B467" s="27"/>
      <c r="C467" s="15" t="str">
        <f>IF(B467="","",IFERROR(INDEX(Items!$B$5:$B$19,MATCH(B467,Items!$A$5:$A$19,0)),"Unknown code"))</f>
        <v/>
      </c>
      <c r="D467" s="29"/>
      <c r="E467" s="18" t="str">
        <f>IF(B467="","",IFERROR(INDEX(Items!$C$5:$C$19,MATCH(B467,Items!$A$5:$A$19,0)),""))</f>
        <v/>
      </c>
      <c r="F467" s="18" t="str">
        <f t="shared" si="42"/>
        <v/>
      </c>
      <c r="G467" s="27"/>
      <c r="H467" s="23" t="str">
        <f>IF(OR(A467="",B467="",D467=""),"",IFERROR(INDEX(Items!$D$5:$D$19,MATCH(B467,Items!$A$5:$A$19,0))+SUMIFS(D$4:D466,B$4:B466,B467),""))</f>
        <v/>
      </c>
      <c r="I467" s="23" t="str">
        <f t="shared" si="43"/>
        <v/>
      </c>
      <c r="J467" s="23" t="str">
        <f t="shared" si="44"/>
        <v/>
      </c>
      <c r="K467" s="18" t="str">
        <f t="shared" si="45"/>
        <v/>
      </c>
      <c r="L467" s="16" t="str">
        <f t="shared" ca="1" si="46"/>
        <v/>
      </c>
      <c r="M467" s="25" t="str">
        <f>IF(H467="","",IF(I467&lt;=0,"Shipped",IF(L467&lt;=AGE30,"Fresh",IF(L467&lt;=AGE60,"Watch",IF(L467&lt;=AGE90,"Aging","Old")))))</f>
        <v/>
      </c>
      <c r="N467" s="16" t="str">
        <f t="shared" si="47"/>
        <v/>
      </c>
    </row>
    <row r="468" spans="1:14" x14ac:dyDescent="0.2">
      <c r="A468" s="32"/>
      <c r="B468" s="27"/>
      <c r="C468" s="15" t="str">
        <f>IF(B468="","",IFERROR(INDEX(Items!$B$5:$B$19,MATCH(B468,Items!$A$5:$A$19,0)),"Unknown code"))</f>
        <v/>
      </c>
      <c r="D468" s="29"/>
      <c r="E468" s="18" t="str">
        <f>IF(B468="","",IFERROR(INDEX(Items!$C$5:$C$19,MATCH(B468,Items!$A$5:$A$19,0)),""))</f>
        <v/>
      </c>
      <c r="F468" s="18" t="str">
        <f t="shared" si="42"/>
        <v/>
      </c>
      <c r="G468" s="27"/>
      <c r="H468" s="23" t="str">
        <f>IF(OR(A468="",B468="",D468=""),"",IFERROR(INDEX(Items!$D$5:$D$19,MATCH(B468,Items!$A$5:$A$19,0))+SUMIFS(D$4:D467,B$4:B467,B468),""))</f>
        <v/>
      </c>
      <c r="I468" s="23" t="str">
        <f t="shared" si="43"/>
        <v/>
      </c>
      <c r="J468" s="23" t="str">
        <f t="shared" si="44"/>
        <v/>
      </c>
      <c r="K468" s="18" t="str">
        <f t="shared" si="45"/>
        <v/>
      </c>
      <c r="L468" s="16" t="str">
        <f t="shared" ca="1" si="46"/>
        <v/>
      </c>
      <c r="M468" s="25" t="str">
        <f>IF(H468="","",IF(I468&lt;=0,"Shipped",IF(L468&lt;=AGE30,"Fresh",IF(L468&lt;=AGE60,"Watch",IF(L468&lt;=AGE90,"Aging","Old")))))</f>
        <v/>
      </c>
      <c r="N468" s="16" t="str">
        <f t="shared" si="47"/>
        <v/>
      </c>
    </row>
    <row r="469" spans="1:14" x14ac:dyDescent="0.2">
      <c r="A469" s="32"/>
      <c r="B469" s="27"/>
      <c r="C469" s="15" t="str">
        <f>IF(B469="","",IFERROR(INDEX(Items!$B$5:$B$19,MATCH(B469,Items!$A$5:$A$19,0)),"Unknown code"))</f>
        <v/>
      </c>
      <c r="D469" s="29"/>
      <c r="E469" s="18" t="str">
        <f>IF(B469="","",IFERROR(INDEX(Items!$C$5:$C$19,MATCH(B469,Items!$A$5:$A$19,0)),""))</f>
        <v/>
      </c>
      <c r="F469" s="18" t="str">
        <f t="shared" si="42"/>
        <v/>
      </c>
      <c r="G469" s="27"/>
      <c r="H469" s="23" t="str">
        <f>IF(OR(A469="",B469="",D469=""),"",IFERROR(INDEX(Items!$D$5:$D$19,MATCH(B469,Items!$A$5:$A$19,0))+SUMIFS(D$4:D468,B$4:B468,B469),""))</f>
        <v/>
      </c>
      <c r="I469" s="23" t="str">
        <f t="shared" si="43"/>
        <v/>
      </c>
      <c r="J469" s="23" t="str">
        <f t="shared" si="44"/>
        <v/>
      </c>
      <c r="K469" s="18" t="str">
        <f t="shared" si="45"/>
        <v/>
      </c>
      <c r="L469" s="16" t="str">
        <f t="shared" ca="1" si="46"/>
        <v/>
      </c>
      <c r="M469" s="25" t="str">
        <f>IF(H469="","",IF(I469&lt;=0,"Shipped",IF(L469&lt;=AGE30,"Fresh",IF(L469&lt;=AGE60,"Watch",IF(L469&lt;=AGE90,"Aging","Old")))))</f>
        <v/>
      </c>
      <c r="N469" s="16" t="str">
        <f t="shared" si="47"/>
        <v/>
      </c>
    </row>
    <row r="470" spans="1:14" x14ac:dyDescent="0.2">
      <c r="A470" s="32"/>
      <c r="B470" s="27"/>
      <c r="C470" s="15" t="str">
        <f>IF(B470="","",IFERROR(INDEX(Items!$B$5:$B$19,MATCH(B470,Items!$A$5:$A$19,0)),"Unknown code"))</f>
        <v/>
      </c>
      <c r="D470" s="29"/>
      <c r="E470" s="18" t="str">
        <f>IF(B470="","",IFERROR(INDEX(Items!$C$5:$C$19,MATCH(B470,Items!$A$5:$A$19,0)),""))</f>
        <v/>
      </c>
      <c r="F470" s="18" t="str">
        <f t="shared" si="42"/>
        <v/>
      </c>
      <c r="G470" s="27"/>
      <c r="H470" s="23" t="str">
        <f>IF(OR(A470="",B470="",D470=""),"",IFERROR(INDEX(Items!$D$5:$D$19,MATCH(B470,Items!$A$5:$A$19,0))+SUMIFS(D$4:D469,B$4:B469,B470),""))</f>
        <v/>
      </c>
      <c r="I470" s="23" t="str">
        <f t="shared" si="43"/>
        <v/>
      </c>
      <c r="J470" s="23" t="str">
        <f t="shared" si="44"/>
        <v/>
      </c>
      <c r="K470" s="18" t="str">
        <f t="shared" si="45"/>
        <v/>
      </c>
      <c r="L470" s="16" t="str">
        <f t="shared" ca="1" si="46"/>
        <v/>
      </c>
      <c r="M470" s="25" t="str">
        <f>IF(H470="","",IF(I470&lt;=0,"Shipped",IF(L470&lt;=AGE30,"Fresh",IF(L470&lt;=AGE60,"Watch",IF(L470&lt;=AGE90,"Aging","Old")))))</f>
        <v/>
      </c>
      <c r="N470" s="16" t="str">
        <f t="shared" si="47"/>
        <v/>
      </c>
    </row>
    <row r="471" spans="1:14" x14ac:dyDescent="0.2">
      <c r="A471" s="32"/>
      <c r="B471" s="27"/>
      <c r="C471" s="15" t="str">
        <f>IF(B471="","",IFERROR(INDEX(Items!$B$5:$B$19,MATCH(B471,Items!$A$5:$A$19,0)),"Unknown code"))</f>
        <v/>
      </c>
      <c r="D471" s="29"/>
      <c r="E471" s="18" t="str">
        <f>IF(B471="","",IFERROR(INDEX(Items!$C$5:$C$19,MATCH(B471,Items!$A$5:$A$19,0)),""))</f>
        <v/>
      </c>
      <c r="F471" s="18" t="str">
        <f t="shared" si="42"/>
        <v/>
      </c>
      <c r="G471" s="27"/>
      <c r="H471" s="23" t="str">
        <f>IF(OR(A471="",B471="",D471=""),"",IFERROR(INDEX(Items!$D$5:$D$19,MATCH(B471,Items!$A$5:$A$19,0))+SUMIFS(D$4:D470,B$4:B470,B471),""))</f>
        <v/>
      </c>
      <c r="I471" s="23" t="str">
        <f t="shared" si="43"/>
        <v/>
      </c>
      <c r="J471" s="23" t="str">
        <f t="shared" si="44"/>
        <v/>
      </c>
      <c r="K471" s="18" t="str">
        <f t="shared" si="45"/>
        <v/>
      </c>
      <c r="L471" s="16" t="str">
        <f t="shared" ca="1" si="46"/>
        <v/>
      </c>
      <c r="M471" s="25" t="str">
        <f>IF(H471="","",IF(I471&lt;=0,"Shipped",IF(L471&lt;=AGE30,"Fresh",IF(L471&lt;=AGE60,"Watch",IF(L471&lt;=AGE90,"Aging","Old")))))</f>
        <v/>
      </c>
      <c r="N471" s="16" t="str">
        <f t="shared" si="47"/>
        <v/>
      </c>
    </row>
    <row r="472" spans="1:14" x14ac:dyDescent="0.2">
      <c r="A472" s="32"/>
      <c r="B472" s="27"/>
      <c r="C472" s="15" t="str">
        <f>IF(B472="","",IFERROR(INDEX(Items!$B$5:$B$19,MATCH(B472,Items!$A$5:$A$19,0)),"Unknown code"))</f>
        <v/>
      </c>
      <c r="D472" s="29"/>
      <c r="E472" s="18" t="str">
        <f>IF(B472="","",IFERROR(INDEX(Items!$C$5:$C$19,MATCH(B472,Items!$A$5:$A$19,0)),""))</f>
        <v/>
      </c>
      <c r="F472" s="18" t="str">
        <f t="shared" si="42"/>
        <v/>
      </c>
      <c r="G472" s="27"/>
      <c r="H472" s="23" t="str">
        <f>IF(OR(A472="",B472="",D472=""),"",IFERROR(INDEX(Items!$D$5:$D$19,MATCH(B472,Items!$A$5:$A$19,0))+SUMIFS(D$4:D471,B$4:B471,B472),""))</f>
        <v/>
      </c>
      <c r="I472" s="23" t="str">
        <f t="shared" si="43"/>
        <v/>
      </c>
      <c r="J472" s="23" t="str">
        <f t="shared" si="44"/>
        <v/>
      </c>
      <c r="K472" s="18" t="str">
        <f t="shared" si="45"/>
        <v/>
      </c>
      <c r="L472" s="16" t="str">
        <f t="shared" ca="1" si="46"/>
        <v/>
      </c>
      <c r="M472" s="25" t="str">
        <f>IF(H472="","",IF(I472&lt;=0,"Shipped",IF(L472&lt;=AGE30,"Fresh",IF(L472&lt;=AGE60,"Watch",IF(L472&lt;=AGE90,"Aging","Old")))))</f>
        <v/>
      </c>
      <c r="N472" s="16" t="str">
        <f t="shared" si="47"/>
        <v/>
      </c>
    </row>
    <row r="473" spans="1:14" x14ac:dyDescent="0.2">
      <c r="A473" s="32"/>
      <c r="B473" s="27"/>
      <c r="C473" s="15" t="str">
        <f>IF(B473="","",IFERROR(INDEX(Items!$B$5:$B$19,MATCH(B473,Items!$A$5:$A$19,0)),"Unknown code"))</f>
        <v/>
      </c>
      <c r="D473" s="29"/>
      <c r="E473" s="18" t="str">
        <f>IF(B473="","",IFERROR(INDEX(Items!$C$5:$C$19,MATCH(B473,Items!$A$5:$A$19,0)),""))</f>
        <v/>
      </c>
      <c r="F473" s="18" t="str">
        <f t="shared" si="42"/>
        <v/>
      </c>
      <c r="G473" s="27"/>
      <c r="H473" s="23" t="str">
        <f>IF(OR(A473="",B473="",D473=""),"",IFERROR(INDEX(Items!$D$5:$D$19,MATCH(B473,Items!$A$5:$A$19,0))+SUMIFS(D$4:D472,B$4:B472,B473),""))</f>
        <v/>
      </c>
      <c r="I473" s="23" t="str">
        <f t="shared" si="43"/>
        <v/>
      </c>
      <c r="J473" s="23" t="str">
        <f t="shared" si="44"/>
        <v/>
      </c>
      <c r="K473" s="18" t="str">
        <f t="shared" si="45"/>
        <v/>
      </c>
      <c r="L473" s="16" t="str">
        <f t="shared" ca="1" si="46"/>
        <v/>
      </c>
      <c r="M473" s="25" t="str">
        <f>IF(H473="","",IF(I473&lt;=0,"Shipped",IF(L473&lt;=AGE30,"Fresh",IF(L473&lt;=AGE60,"Watch",IF(L473&lt;=AGE90,"Aging","Old")))))</f>
        <v/>
      </c>
      <c r="N473" s="16" t="str">
        <f t="shared" si="47"/>
        <v/>
      </c>
    </row>
    <row r="474" spans="1:14" x14ac:dyDescent="0.2">
      <c r="A474" s="32"/>
      <c r="B474" s="27"/>
      <c r="C474" s="15" t="str">
        <f>IF(B474="","",IFERROR(INDEX(Items!$B$5:$B$19,MATCH(B474,Items!$A$5:$A$19,0)),"Unknown code"))</f>
        <v/>
      </c>
      <c r="D474" s="29"/>
      <c r="E474" s="18" t="str">
        <f>IF(B474="","",IFERROR(INDEX(Items!$C$5:$C$19,MATCH(B474,Items!$A$5:$A$19,0)),""))</f>
        <v/>
      </c>
      <c r="F474" s="18" t="str">
        <f t="shared" si="42"/>
        <v/>
      </c>
      <c r="G474" s="27"/>
      <c r="H474" s="23" t="str">
        <f>IF(OR(A474="",B474="",D474=""),"",IFERROR(INDEX(Items!$D$5:$D$19,MATCH(B474,Items!$A$5:$A$19,0))+SUMIFS(D$4:D473,B$4:B473,B474),""))</f>
        <v/>
      </c>
      <c r="I474" s="23" t="str">
        <f t="shared" si="43"/>
        <v/>
      </c>
      <c r="J474" s="23" t="str">
        <f t="shared" si="44"/>
        <v/>
      </c>
      <c r="K474" s="18" t="str">
        <f t="shared" si="45"/>
        <v/>
      </c>
      <c r="L474" s="16" t="str">
        <f t="shared" ca="1" si="46"/>
        <v/>
      </c>
      <c r="M474" s="25" t="str">
        <f>IF(H474="","",IF(I474&lt;=0,"Shipped",IF(L474&lt;=AGE30,"Fresh",IF(L474&lt;=AGE60,"Watch",IF(L474&lt;=AGE90,"Aging","Old")))))</f>
        <v/>
      </c>
      <c r="N474" s="16" t="str">
        <f t="shared" si="47"/>
        <v/>
      </c>
    </row>
    <row r="475" spans="1:14" x14ac:dyDescent="0.2">
      <c r="A475" s="32"/>
      <c r="B475" s="27"/>
      <c r="C475" s="15" t="str">
        <f>IF(B475="","",IFERROR(INDEX(Items!$B$5:$B$19,MATCH(B475,Items!$A$5:$A$19,0)),"Unknown code"))</f>
        <v/>
      </c>
      <c r="D475" s="29"/>
      <c r="E475" s="18" t="str">
        <f>IF(B475="","",IFERROR(INDEX(Items!$C$5:$C$19,MATCH(B475,Items!$A$5:$A$19,0)),""))</f>
        <v/>
      </c>
      <c r="F475" s="18" t="str">
        <f t="shared" si="42"/>
        <v/>
      </c>
      <c r="G475" s="27"/>
      <c r="H475" s="23" t="str">
        <f>IF(OR(A475="",B475="",D475=""),"",IFERROR(INDEX(Items!$D$5:$D$19,MATCH(B475,Items!$A$5:$A$19,0))+SUMIFS(D$4:D474,B$4:B474,B475),""))</f>
        <v/>
      </c>
      <c r="I475" s="23" t="str">
        <f t="shared" si="43"/>
        <v/>
      </c>
      <c r="J475" s="23" t="str">
        <f t="shared" si="44"/>
        <v/>
      </c>
      <c r="K475" s="18" t="str">
        <f t="shared" si="45"/>
        <v/>
      </c>
      <c r="L475" s="16" t="str">
        <f t="shared" ca="1" si="46"/>
        <v/>
      </c>
      <c r="M475" s="25" t="str">
        <f>IF(H475="","",IF(I475&lt;=0,"Shipped",IF(L475&lt;=AGE30,"Fresh",IF(L475&lt;=AGE60,"Watch",IF(L475&lt;=AGE90,"Aging","Old")))))</f>
        <v/>
      </c>
      <c r="N475" s="16" t="str">
        <f t="shared" si="47"/>
        <v/>
      </c>
    </row>
    <row r="476" spans="1:14" x14ac:dyDescent="0.2">
      <c r="A476" s="32"/>
      <c r="B476" s="27"/>
      <c r="C476" s="15" t="str">
        <f>IF(B476="","",IFERROR(INDEX(Items!$B$5:$B$19,MATCH(B476,Items!$A$5:$A$19,0)),"Unknown code"))</f>
        <v/>
      </c>
      <c r="D476" s="29"/>
      <c r="E476" s="18" t="str">
        <f>IF(B476="","",IFERROR(INDEX(Items!$C$5:$C$19,MATCH(B476,Items!$A$5:$A$19,0)),""))</f>
        <v/>
      </c>
      <c r="F476" s="18" t="str">
        <f t="shared" si="42"/>
        <v/>
      </c>
      <c r="G476" s="27"/>
      <c r="H476" s="23" t="str">
        <f>IF(OR(A476="",B476="",D476=""),"",IFERROR(INDEX(Items!$D$5:$D$19,MATCH(B476,Items!$A$5:$A$19,0))+SUMIFS(D$4:D475,B$4:B475,B476),""))</f>
        <v/>
      </c>
      <c r="I476" s="23" t="str">
        <f t="shared" si="43"/>
        <v/>
      </c>
      <c r="J476" s="23" t="str">
        <f t="shared" si="44"/>
        <v/>
      </c>
      <c r="K476" s="18" t="str">
        <f t="shared" si="45"/>
        <v/>
      </c>
      <c r="L476" s="16" t="str">
        <f t="shared" ca="1" si="46"/>
        <v/>
      </c>
      <c r="M476" s="25" t="str">
        <f>IF(H476="","",IF(I476&lt;=0,"Shipped",IF(L476&lt;=AGE30,"Fresh",IF(L476&lt;=AGE60,"Watch",IF(L476&lt;=AGE90,"Aging","Old")))))</f>
        <v/>
      </c>
      <c r="N476" s="16" t="str">
        <f t="shared" si="47"/>
        <v/>
      </c>
    </row>
    <row r="477" spans="1:14" x14ac:dyDescent="0.2">
      <c r="A477" s="32"/>
      <c r="B477" s="27"/>
      <c r="C477" s="15" t="str">
        <f>IF(B477="","",IFERROR(INDEX(Items!$B$5:$B$19,MATCH(B477,Items!$A$5:$A$19,0)),"Unknown code"))</f>
        <v/>
      </c>
      <c r="D477" s="29"/>
      <c r="E477" s="18" t="str">
        <f>IF(B477="","",IFERROR(INDEX(Items!$C$5:$C$19,MATCH(B477,Items!$A$5:$A$19,0)),""))</f>
        <v/>
      </c>
      <c r="F477" s="18" t="str">
        <f t="shared" si="42"/>
        <v/>
      </c>
      <c r="G477" s="27"/>
      <c r="H477" s="23" t="str">
        <f>IF(OR(A477="",B477="",D477=""),"",IFERROR(INDEX(Items!$D$5:$D$19,MATCH(B477,Items!$A$5:$A$19,0))+SUMIFS(D$4:D476,B$4:B476,B477),""))</f>
        <v/>
      </c>
      <c r="I477" s="23" t="str">
        <f t="shared" si="43"/>
        <v/>
      </c>
      <c r="J477" s="23" t="str">
        <f t="shared" si="44"/>
        <v/>
      </c>
      <c r="K477" s="18" t="str">
        <f t="shared" si="45"/>
        <v/>
      </c>
      <c r="L477" s="16" t="str">
        <f t="shared" ca="1" si="46"/>
        <v/>
      </c>
      <c r="M477" s="25" t="str">
        <f>IF(H477="","",IF(I477&lt;=0,"Shipped",IF(L477&lt;=AGE30,"Fresh",IF(L477&lt;=AGE60,"Watch",IF(L477&lt;=AGE90,"Aging","Old")))))</f>
        <v/>
      </c>
      <c r="N477" s="16" t="str">
        <f t="shared" si="47"/>
        <v/>
      </c>
    </row>
    <row r="478" spans="1:14" x14ac:dyDescent="0.2">
      <c r="A478" s="32"/>
      <c r="B478" s="27"/>
      <c r="C478" s="15" t="str">
        <f>IF(B478="","",IFERROR(INDEX(Items!$B$5:$B$19,MATCH(B478,Items!$A$5:$A$19,0)),"Unknown code"))</f>
        <v/>
      </c>
      <c r="D478" s="29"/>
      <c r="E478" s="18" t="str">
        <f>IF(B478="","",IFERROR(INDEX(Items!$C$5:$C$19,MATCH(B478,Items!$A$5:$A$19,0)),""))</f>
        <v/>
      </c>
      <c r="F478" s="18" t="str">
        <f t="shared" si="42"/>
        <v/>
      </c>
      <c r="G478" s="27"/>
      <c r="H478" s="23" t="str">
        <f>IF(OR(A478="",B478="",D478=""),"",IFERROR(INDEX(Items!$D$5:$D$19,MATCH(B478,Items!$A$5:$A$19,0))+SUMIFS(D$4:D477,B$4:B477,B478),""))</f>
        <v/>
      </c>
      <c r="I478" s="23" t="str">
        <f t="shared" si="43"/>
        <v/>
      </c>
      <c r="J478" s="23" t="str">
        <f t="shared" si="44"/>
        <v/>
      </c>
      <c r="K478" s="18" t="str">
        <f t="shared" si="45"/>
        <v/>
      </c>
      <c r="L478" s="16" t="str">
        <f t="shared" ca="1" si="46"/>
        <v/>
      </c>
      <c r="M478" s="25" t="str">
        <f>IF(H478="","",IF(I478&lt;=0,"Shipped",IF(L478&lt;=AGE30,"Fresh",IF(L478&lt;=AGE60,"Watch",IF(L478&lt;=AGE90,"Aging","Old")))))</f>
        <v/>
      </c>
      <c r="N478" s="16" t="str">
        <f t="shared" si="47"/>
        <v/>
      </c>
    </row>
    <row r="479" spans="1:14" x14ac:dyDescent="0.2">
      <c r="A479" s="32"/>
      <c r="B479" s="27"/>
      <c r="C479" s="15" t="str">
        <f>IF(B479="","",IFERROR(INDEX(Items!$B$5:$B$19,MATCH(B479,Items!$A$5:$A$19,0)),"Unknown code"))</f>
        <v/>
      </c>
      <c r="D479" s="29"/>
      <c r="E479" s="18" t="str">
        <f>IF(B479="","",IFERROR(INDEX(Items!$C$5:$C$19,MATCH(B479,Items!$A$5:$A$19,0)),""))</f>
        <v/>
      </c>
      <c r="F479" s="18" t="str">
        <f t="shared" si="42"/>
        <v/>
      </c>
      <c r="G479" s="27"/>
      <c r="H479" s="23" t="str">
        <f>IF(OR(A479="",B479="",D479=""),"",IFERROR(INDEX(Items!$D$5:$D$19,MATCH(B479,Items!$A$5:$A$19,0))+SUMIFS(D$4:D478,B$4:B478,B479),""))</f>
        <v/>
      </c>
      <c r="I479" s="23" t="str">
        <f t="shared" si="43"/>
        <v/>
      </c>
      <c r="J479" s="23" t="str">
        <f t="shared" si="44"/>
        <v/>
      </c>
      <c r="K479" s="18" t="str">
        <f t="shared" si="45"/>
        <v/>
      </c>
      <c r="L479" s="16" t="str">
        <f t="shared" ca="1" si="46"/>
        <v/>
      </c>
      <c r="M479" s="25" t="str">
        <f>IF(H479="","",IF(I479&lt;=0,"Shipped",IF(L479&lt;=AGE30,"Fresh",IF(L479&lt;=AGE60,"Watch",IF(L479&lt;=AGE90,"Aging","Old")))))</f>
        <v/>
      </c>
      <c r="N479" s="16" t="str">
        <f t="shared" si="47"/>
        <v/>
      </c>
    </row>
    <row r="480" spans="1:14" x14ac:dyDescent="0.2">
      <c r="A480" s="32"/>
      <c r="B480" s="27"/>
      <c r="C480" s="15" t="str">
        <f>IF(B480="","",IFERROR(INDEX(Items!$B$5:$B$19,MATCH(B480,Items!$A$5:$A$19,0)),"Unknown code"))</f>
        <v/>
      </c>
      <c r="D480" s="29"/>
      <c r="E480" s="18" t="str">
        <f>IF(B480="","",IFERROR(INDEX(Items!$C$5:$C$19,MATCH(B480,Items!$A$5:$A$19,0)),""))</f>
        <v/>
      </c>
      <c r="F480" s="18" t="str">
        <f t="shared" si="42"/>
        <v/>
      </c>
      <c r="G480" s="27"/>
      <c r="H480" s="23" t="str">
        <f>IF(OR(A480="",B480="",D480=""),"",IFERROR(INDEX(Items!$D$5:$D$19,MATCH(B480,Items!$A$5:$A$19,0))+SUMIFS(D$4:D479,B$4:B479,B480),""))</f>
        <v/>
      </c>
      <c r="I480" s="23" t="str">
        <f t="shared" si="43"/>
        <v/>
      </c>
      <c r="J480" s="23" t="str">
        <f t="shared" si="44"/>
        <v/>
      </c>
      <c r="K480" s="18" t="str">
        <f t="shared" si="45"/>
        <v/>
      </c>
      <c r="L480" s="16" t="str">
        <f t="shared" ca="1" si="46"/>
        <v/>
      </c>
      <c r="M480" s="25" t="str">
        <f>IF(H480="","",IF(I480&lt;=0,"Shipped",IF(L480&lt;=AGE30,"Fresh",IF(L480&lt;=AGE60,"Watch",IF(L480&lt;=AGE90,"Aging","Old")))))</f>
        <v/>
      </c>
      <c r="N480" s="16" t="str">
        <f t="shared" si="47"/>
        <v/>
      </c>
    </row>
    <row r="481" spans="1:14" x14ac:dyDescent="0.2">
      <c r="A481" s="32"/>
      <c r="B481" s="27"/>
      <c r="C481" s="15" t="str">
        <f>IF(B481="","",IFERROR(INDEX(Items!$B$5:$B$19,MATCH(B481,Items!$A$5:$A$19,0)),"Unknown code"))</f>
        <v/>
      </c>
      <c r="D481" s="29"/>
      <c r="E481" s="18" t="str">
        <f>IF(B481="","",IFERROR(INDEX(Items!$C$5:$C$19,MATCH(B481,Items!$A$5:$A$19,0)),""))</f>
        <v/>
      </c>
      <c r="F481" s="18" t="str">
        <f t="shared" si="42"/>
        <v/>
      </c>
      <c r="G481" s="27"/>
      <c r="H481" s="23" t="str">
        <f>IF(OR(A481="",B481="",D481=""),"",IFERROR(INDEX(Items!$D$5:$D$19,MATCH(B481,Items!$A$5:$A$19,0))+SUMIFS(D$4:D480,B$4:B480,B481),""))</f>
        <v/>
      </c>
      <c r="I481" s="23" t="str">
        <f t="shared" si="43"/>
        <v/>
      </c>
      <c r="J481" s="23" t="str">
        <f t="shared" si="44"/>
        <v/>
      </c>
      <c r="K481" s="18" t="str">
        <f t="shared" si="45"/>
        <v/>
      </c>
      <c r="L481" s="16" t="str">
        <f t="shared" ca="1" si="46"/>
        <v/>
      </c>
      <c r="M481" s="25" t="str">
        <f>IF(H481="","",IF(I481&lt;=0,"Shipped",IF(L481&lt;=AGE30,"Fresh",IF(L481&lt;=AGE60,"Watch",IF(L481&lt;=AGE90,"Aging","Old")))))</f>
        <v/>
      </c>
      <c r="N481" s="16" t="str">
        <f t="shared" si="47"/>
        <v/>
      </c>
    </row>
    <row r="482" spans="1:14" x14ac:dyDescent="0.2">
      <c r="A482" s="32"/>
      <c r="B482" s="27"/>
      <c r="C482" s="15" t="str">
        <f>IF(B482="","",IFERROR(INDEX(Items!$B$5:$B$19,MATCH(B482,Items!$A$5:$A$19,0)),"Unknown code"))</f>
        <v/>
      </c>
      <c r="D482" s="29"/>
      <c r="E482" s="18" t="str">
        <f>IF(B482="","",IFERROR(INDEX(Items!$C$5:$C$19,MATCH(B482,Items!$A$5:$A$19,0)),""))</f>
        <v/>
      </c>
      <c r="F482" s="18" t="str">
        <f t="shared" si="42"/>
        <v/>
      </c>
      <c r="G482" s="27"/>
      <c r="H482" s="23" t="str">
        <f>IF(OR(A482="",B482="",D482=""),"",IFERROR(INDEX(Items!$D$5:$D$19,MATCH(B482,Items!$A$5:$A$19,0))+SUMIFS(D$4:D481,B$4:B481,B482),""))</f>
        <v/>
      </c>
      <c r="I482" s="23" t="str">
        <f t="shared" si="43"/>
        <v/>
      </c>
      <c r="J482" s="23" t="str">
        <f t="shared" si="44"/>
        <v/>
      </c>
      <c r="K482" s="18" t="str">
        <f t="shared" si="45"/>
        <v/>
      </c>
      <c r="L482" s="16" t="str">
        <f t="shared" ca="1" si="46"/>
        <v/>
      </c>
      <c r="M482" s="25" t="str">
        <f>IF(H482="","",IF(I482&lt;=0,"Shipped",IF(L482&lt;=AGE30,"Fresh",IF(L482&lt;=AGE60,"Watch",IF(L482&lt;=AGE90,"Aging","Old")))))</f>
        <v/>
      </c>
      <c r="N482" s="16" t="str">
        <f t="shared" si="47"/>
        <v/>
      </c>
    </row>
    <row r="483" spans="1:14" x14ac:dyDescent="0.2">
      <c r="A483" s="32"/>
      <c r="B483" s="27"/>
      <c r="C483" s="15" t="str">
        <f>IF(B483="","",IFERROR(INDEX(Items!$B$5:$B$19,MATCH(B483,Items!$A$5:$A$19,0)),"Unknown code"))</f>
        <v/>
      </c>
      <c r="D483" s="29"/>
      <c r="E483" s="18" t="str">
        <f>IF(B483="","",IFERROR(INDEX(Items!$C$5:$C$19,MATCH(B483,Items!$A$5:$A$19,0)),""))</f>
        <v/>
      </c>
      <c r="F483" s="18" t="str">
        <f t="shared" si="42"/>
        <v/>
      </c>
      <c r="G483" s="27"/>
      <c r="H483" s="23" t="str">
        <f>IF(OR(A483="",B483="",D483=""),"",IFERROR(INDEX(Items!$D$5:$D$19,MATCH(B483,Items!$A$5:$A$19,0))+SUMIFS(D$4:D482,B$4:B482,B483),""))</f>
        <v/>
      </c>
      <c r="I483" s="23" t="str">
        <f t="shared" si="43"/>
        <v/>
      </c>
      <c r="J483" s="23" t="str">
        <f t="shared" si="44"/>
        <v/>
      </c>
      <c r="K483" s="18" t="str">
        <f t="shared" si="45"/>
        <v/>
      </c>
      <c r="L483" s="16" t="str">
        <f t="shared" ca="1" si="46"/>
        <v/>
      </c>
      <c r="M483" s="25" t="str">
        <f>IF(H483="","",IF(I483&lt;=0,"Shipped",IF(L483&lt;=AGE30,"Fresh",IF(L483&lt;=AGE60,"Watch",IF(L483&lt;=AGE90,"Aging","Old")))))</f>
        <v/>
      </c>
      <c r="N483" s="16" t="str">
        <f t="shared" si="47"/>
        <v/>
      </c>
    </row>
    <row r="484" spans="1:14" x14ac:dyDescent="0.2">
      <c r="A484" s="32"/>
      <c r="B484" s="27"/>
      <c r="C484" s="15" t="str">
        <f>IF(B484="","",IFERROR(INDEX(Items!$B$5:$B$19,MATCH(B484,Items!$A$5:$A$19,0)),"Unknown code"))</f>
        <v/>
      </c>
      <c r="D484" s="29"/>
      <c r="E484" s="18" t="str">
        <f>IF(B484="","",IFERROR(INDEX(Items!$C$5:$C$19,MATCH(B484,Items!$A$5:$A$19,0)),""))</f>
        <v/>
      </c>
      <c r="F484" s="18" t="str">
        <f t="shared" si="42"/>
        <v/>
      </c>
      <c r="G484" s="27"/>
      <c r="H484" s="23" t="str">
        <f>IF(OR(A484="",B484="",D484=""),"",IFERROR(INDEX(Items!$D$5:$D$19,MATCH(B484,Items!$A$5:$A$19,0))+SUMIFS(D$4:D483,B$4:B483,B484),""))</f>
        <v/>
      </c>
      <c r="I484" s="23" t="str">
        <f t="shared" si="43"/>
        <v/>
      </c>
      <c r="J484" s="23" t="str">
        <f t="shared" si="44"/>
        <v/>
      </c>
      <c r="K484" s="18" t="str">
        <f t="shared" si="45"/>
        <v/>
      </c>
      <c r="L484" s="16" t="str">
        <f t="shared" ca="1" si="46"/>
        <v/>
      </c>
      <c r="M484" s="25" t="str">
        <f>IF(H484="","",IF(I484&lt;=0,"Shipped",IF(L484&lt;=AGE30,"Fresh",IF(L484&lt;=AGE60,"Watch",IF(L484&lt;=AGE90,"Aging","Old")))))</f>
        <v/>
      </c>
      <c r="N484" s="16" t="str">
        <f t="shared" si="47"/>
        <v/>
      </c>
    </row>
    <row r="485" spans="1:14" x14ac:dyDescent="0.2">
      <c r="A485" s="32"/>
      <c r="B485" s="27"/>
      <c r="C485" s="15" t="str">
        <f>IF(B485="","",IFERROR(INDEX(Items!$B$5:$B$19,MATCH(B485,Items!$A$5:$A$19,0)),"Unknown code"))</f>
        <v/>
      </c>
      <c r="D485" s="29"/>
      <c r="E485" s="18" t="str">
        <f>IF(B485="","",IFERROR(INDEX(Items!$C$5:$C$19,MATCH(B485,Items!$A$5:$A$19,0)),""))</f>
        <v/>
      </c>
      <c r="F485" s="18" t="str">
        <f t="shared" si="42"/>
        <v/>
      </c>
      <c r="G485" s="27"/>
      <c r="H485" s="23" t="str">
        <f>IF(OR(A485="",B485="",D485=""),"",IFERROR(INDEX(Items!$D$5:$D$19,MATCH(B485,Items!$A$5:$A$19,0))+SUMIFS(D$4:D484,B$4:B484,B485),""))</f>
        <v/>
      </c>
      <c r="I485" s="23" t="str">
        <f t="shared" si="43"/>
        <v/>
      </c>
      <c r="J485" s="23" t="str">
        <f t="shared" si="44"/>
        <v/>
      </c>
      <c r="K485" s="18" t="str">
        <f t="shared" si="45"/>
        <v/>
      </c>
      <c r="L485" s="16" t="str">
        <f t="shared" ca="1" si="46"/>
        <v/>
      </c>
      <c r="M485" s="25" t="str">
        <f>IF(H485="","",IF(I485&lt;=0,"Shipped",IF(L485&lt;=AGE30,"Fresh",IF(L485&lt;=AGE60,"Watch",IF(L485&lt;=AGE90,"Aging","Old")))))</f>
        <v/>
      </c>
      <c r="N485" s="16" t="str">
        <f t="shared" si="47"/>
        <v/>
      </c>
    </row>
    <row r="486" spans="1:14" x14ac:dyDescent="0.2">
      <c r="A486" s="32"/>
      <c r="B486" s="27"/>
      <c r="C486" s="15" t="str">
        <f>IF(B486="","",IFERROR(INDEX(Items!$B$5:$B$19,MATCH(B486,Items!$A$5:$A$19,0)),"Unknown code"))</f>
        <v/>
      </c>
      <c r="D486" s="29"/>
      <c r="E486" s="18" t="str">
        <f>IF(B486="","",IFERROR(INDEX(Items!$C$5:$C$19,MATCH(B486,Items!$A$5:$A$19,0)),""))</f>
        <v/>
      </c>
      <c r="F486" s="18" t="str">
        <f t="shared" si="42"/>
        <v/>
      </c>
      <c r="G486" s="27"/>
      <c r="H486" s="23" t="str">
        <f>IF(OR(A486="",B486="",D486=""),"",IFERROR(INDEX(Items!$D$5:$D$19,MATCH(B486,Items!$A$5:$A$19,0))+SUMIFS(D$4:D485,B$4:B485,B486),""))</f>
        <v/>
      </c>
      <c r="I486" s="23" t="str">
        <f t="shared" si="43"/>
        <v/>
      </c>
      <c r="J486" s="23" t="str">
        <f t="shared" si="44"/>
        <v/>
      </c>
      <c r="K486" s="18" t="str">
        <f t="shared" si="45"/>
        <v/>
      </c>
      <c r="L486" s="16" t="str">
        <f t="shared" ca="1" si="46"/>
        <v/>
      </c>
      <c r="M486" s="25" t="str">
        <f>IF(H486="","",IF(I486&lt;=0,"Shipped",IF(L486&lt;=AGE30,"Fresh",IF(L486&lt;=AGE60,"Watch",IF(L486&lt;=AGE90,"Aging","Old")))))</f>
        <v/>
      </c>
      <c r="N486" s="16" t="str">
        <f t="shared" si="47"/>
        <v/>
      </c>
    </row>
    <row r="487" spans="1:14" x14ac:dyDescent="0.2">
      <c r="A487" s="32"/>
      <c r="B487" s="27"/>
      <c r="C487" s="15" t="str">
        <f>IF(B487="","",IFERROR(INDEX(Items!$B$5:$B$19,MATCH(B487,Items!$A$5:$A$19,0)),"Unknown code"))</f>
        <v/>
      </c>
      <c r="D487" s="29"/>
      <c r="E487" s="18" t="str">
        <f>IF(B487="","",IFERROR(INDEX(Items!$C$5:$C$19,MATCH(B487,Items!$A$5:$A$19,0)),""))</f>
        <v/>
      </c>
      <c r="F487" s="18" t="str">
        <f t="shared" si="42"/>
        <v/>
      </c>
      <c r="G487" s="27"/>
      <c r="H487" s="23" t="str">
        <f>IF(OR(A487="",B487="",D487=""),"",IFERROR(INDEX(Items!$D$5:$D$19,MATCH(B487,Items!$A$5:$A$19,0))+SUMIFS(D$4:D486,B$4:B486,B487),""))</f>
        <v/>
      </c>
      <c r="I487" s="23" t="str">
        <f t="shared" si="43"/>
        <v/>
      </c>
      <c r="J487" s="23" t="str">
        <f t="shared" si="44"/>
        <v/>
      </c>
      <c r="K487" s="18" t="str">
        <f t="shared" si="45"/>
        <v/>
      </c>
      <c r="L487" s="16" t="str">
        <f t="shared" ca="1" si="46"/>
        <v/>
      </c>
      <c r="M487" s="25" t="str">
        <f>IF(H487="","",IF(I487&lt;=0,"Shipped",IF(L487&lt;=AGE30,"Fresh",IF(L487&lt;=AGE60,"Watch",IF(L487&lt;=AGE90,"Aging","Old")))))</f>
        <v/>
      </c>
      <c r="N487" s="16" t="str">
        <f t="shared" si="47"/>
        <v/>
      </c>
    </row>
    <row r="488" spans="1:14" x14ac:dyDescent="0.2">
      <c r="A488" s="32"/>
      <c r="B488" s="27"/>
      <c r="C488" s="15" t="str">
        <f>IF(B488="","",IFERROR(INDEX(Items!$B$5:$B$19,MATCH(B488,Items!$A$5:$A$19,0)),"Unknown code"))</f>
        <v/>
      </c>
      <c r="D488" s="29"/>
      <c r="E488" s="18" t="str">
        <f>IF(B488="","",IFERROR(INDEX(Items!$C$5:$C$19,MATCH(B488,Items!$A$5:$A$19,0)),""))</f>
        <v/>
      </c>
      <c r="F488" s="18" t="str">
        <f t="shared" si="42"/>
        <v/>
      </c>
      <c r="G488" s="27"/>
      <c r="H488" s="23" t="str">
        <f>IF(OR(A488="",B488="",D488=""),"",IFERROR(INDEX(Items!$D$5:$D$19,MATCH(B488,Items!$A$5:$A$19,0))+SUMIFS(D$4:D487,B$4:B487,B488),""))</f>
        <v/>
      </c>
      <c r="I488" s="23" t="str">
        <f t="shared" si="43"/>
        <v/>
      </c>
      <c r="J488" s="23" t="str">
        <f t="shared" si="44"/>
        <v/>
      </c>
      <c r="K488" s="18" t="str">
        <f t="shared" si="45"/>
        <v/>
      </c>
      <c r="L488" s="16" t="str">
        <f t="shared" ca="1" si="46"/>
        <v/>
      </c>
      <c r="M488" s="25" t="str">
        <f>IF(H488="","",IF(I488&lt;=0,"Shipped",IF(L488&lt;=AGE30,"Fresh",IF(L488&lt;=AGE60,"Watch",IF(L488&lt;=AGE90,"Aging","Old")))))</f>
        <v/>
      </c>
      <c r="N488" s="16" t="str">
        <f t="shared" si="47"/>
        <v/>
      </c>
    </row>
    <row r="489" spans="1:14" x14ac:dyDescent="0.2">
      <c r="A489" s="32"/>
      <c r="B489" s="27"/>
      <c r="C489" s="15" t="str">
        <f>IF(B489="","",IFERROR(INDEX(Items!$B$5:$B$19,MATCH(B489,Items!$A$5:$A$19,0)),"Unknown code"))</f>
        <v/>
      </c>
      <c r="D489" s="29"/>
      <c r="E489" s="18" t="str">
        <f>IF(B489="","",IFERROR(INDEX(Items!$C$5:$C$19,MATCH(B489,Items!$A$5:$A$19,0)),""))</f>
        <v/>
      </c>
      <c r="F489" s="18" t="str">
        <f t="shared" si="42"/>
        <v/>
      </c>
      <c r="G489" s="27"/>
      <c r="H489" s="23" t="str">
        <f>IF(OR(A489="",B489="",D489=""),"",IFERROR(INDEX(Items!$D$5:$D$19,MATCH(B489,Items!$A$5:$A$19,0))+SUMIFS(D$4:D488,B$4:B488,B489),""))</f>
        <v/>
      </c>
      <c r="I489" s="23" t="str">
        <f t="shared" si="43"/>
        <v/>
      </c>
      <c r="J489" s="23" t="str">
        <f t="shared" si="44"/>
        <v/>
      </c>
      <c r="K489" s="18" t="str">
        <f t="shared" si="45"/>
        <v/>
      </c>
      <c r="L489" s="16" t="str">
        <f t="shared" ca="1" si="46"/>
        <v/>
      </c>
      <c r="M489" s="25" t="str">
        <f>IF(H489="","",IF(I489&lt;=0,"Shipped",IF(L489&lt;=AGE30,"Fresh",IF(L489&lt;=AGE60,"Watch",IF(L489&lt;=AGE90,"Aging","Old")))))</f>
        <v/>
      </c>
      <c r="N489" s="16" t="str">
        <f t="shared" si="47"/>
        <v/>
      </c>
    </row>
    <row r="490" spans="1:14" x14ac:dyDescent="0.2">
      <c r="A490" s="32"/>
      <c r="B490" s="27"/>
      <c r="C490" s="15" t="str">
        <f>IF(B490="","",IFERROR(INDEX(Items!$B$5:$B$19,MATCH(B490,Items!$A$5:$A$19,0)),"Unknown code"))</f>
        <v/>
      </c>
      <c r="D490" s="29"/>
      <c r="E490" s="18" t="str">
        <f>IF(B490="","",IFERROR(INDEX(Items!$C$5:$C$19,MATCH(B490,Items!$A$5:$A$19,0)),""))</f>
        <v/>
      </c>
      <c r="F490" s="18" t="str">
        <f t="shared" si="42"/>
        <v/>
      </c>
      <c r="G490" s="27"/>
      <c r="H490" s="23" t="str">
        <f>IF(OR(A490="",B490="",D490=""),"",IFERROR(INDEX(Items!$D$5:$D$19,MATCH(B490,Items!$A$5:$A$19,0))+SUMIFS(D$4:D489,B$4:B489,B490),""))</f>
        <v/>
      </c>
      <c r="I490" s="23" t="str">
        <f t="shared" si="43"/>
        <v/>
      </c>
      <c r="J490" s="23" t="str">
        <f t="shared" si="44"/>
        <v/>
      </c>
      <c r="K490" s="18" t="str">
        <f t="shared" si="45"/>
        <v/>
      </c>
      <c r="L490" s="16" t="str">
        <f t="shared" ca="1" si="46"/>
        <v/>
      </c>
      <c r="M490" s="25" t="str">
        <f>IF(H490="","",IF(I490&lt;=0,"Shipped",IF(L490&lt;=AGE30,"Fresh",IF(L490&lt;=AGE60,"Watch",IF(L490&lt;=AGE90,"Aging","Old")))))</f>
        <v/>
      </c>
      <c r="N490" s="16" t="str">
        <f t="shared" si="47"/>
        <v/>
      </c>
    </row>
    <row r="491" spans="1:14" x14ac:dyDescent="0.2">
      <c r="A491" s="32"/>
      <c r="B491" s="27"/>
      <c r="C491" s="15" t="str">
        <f>IF(B491="","",IFERROR(INDEX(Items!$B$5:$B$19,MATCH(B491,Items!$A$5:$A$19,0)),"Unknown code"))</f>
        <v/>
      </c>
      <c r="D491" s="29"/>
      <c r="E491" s="18" t="str">
        <f>IF(B491="","",IFERROR(INDEX(Items!$C$5:$C$19,MATCH(B491,Items!$A$5:$A$19,0)),""))</f>
        <v/>
      </c>
      <c r="F491" s="18" t="str">
        <f t="shared" si="42"/>
        <v/>
      </c>
      <c r="G491" s="27"/>
      <c r="H491" s="23" t="str">
        <f>IF(OR(A491="",B491="",D491=""),"",IFERROR(INDEX(Items!$D$5:$D$19,MATCH(B491,Items!$A$5:$A$19,0))+SUMIFS(D$4:D490,B$4:B490,B491),""))</f>
        <v/>
      </c>
      <c r="I491" s="23" t="str">
        <f t="shared" si="43"/>
        <v/>
      </c>
      <c r="J491" s="23" t="str">
        <f t="shared" si="44"/>
        <v/>
      </c>
      <c r="K491" s="18" t="str">
        <f t="shared" si="45"/>
        <v/>
      </c>
      <c r="L491" s="16" t="str">
        <f t="shared" ca="1" si="46"/>
        <v/>
      </c>
      <c r="M491" s="25" t="str">
        <f>IF(H491="","",IF(I491&lt;=0,"Shipped",IF(L491&lt;=AGE30,"Fresh",IF(L491&lt;=AGE60,"Watch",IF(L491&lt;=AGE90,"Aging","Old")))))</f>
        <v/>
      </c>
      <c r="N491" s="16" t="str">
        <f t="shared" si="47"/>
        <v/>
      </c>
    </row>
    <row r="492" spans="1:14" x14ac:dyDescent="0.2">
      <c r="A492" s="32"/>
      <c r="B492" s="27"/>
      <c r="C492" s="15" t="str">
        <f>IF(B492="","",IFERROR(INDEX(Items!$B$5:$B$19,MATCH(B492,Items!$A$5:$A$19,0)),"Unknown code"))</f>
        <v/>
      </c>
      <c r="D492" s="29"/>
      <c r="E492" s="18" t="str">
        <f>IF(B492="","",IFERROR(INDEX(Items!$C$5:$C$19,MATCH(B492,Items!$A$5:$A$19,0)),""))</f>
        <v/>
      </c>
      <c r="F492" s="18" t="str">
        <f t="shared" si="42"/>
        <v/>
      </c>
      <c r="G492" s="27"/>
      <c r="H492" s="23" t="str">
        <f>IF(OR(A492="",B492="",D492=""),"",IFERROR(INDEX(Items!$D$5:$D$19,MATCH(B492,Items!$A$5:$A$19,0))+SUMIFS(D$4:D491,B$4:B491,B492),""))</f>
        <v/>
      </c>
      <c r="I492" s="23" t="str">
        <f t="shared" si="43"/>
        <v/>
      </c>
      <c r="J492" s="23" t="str">
        <f t="shared" si="44"/>
        <v/>
      </c>
      <c r="K492" s="18" t="str">
        <f t="shared" si="45"/>
        <v/>
      </c>
      <c r="L492" s="16" t="str">
        <f t="shared" ca="1" si="46"/>
        <v/>
      </c>
      <c r="M492" s="25" t="str">
        <f>IF(H492="","",IF(I492&lt;=0,"Shipped",IF(L492&lt;=AGE30,"Fresh",IF(L492&lt;=AGE60,"Watch",IF(L492&lt;=AGE90,"Aging","Old")))))</f>
        <v/>
      </c>
      <c r="N492" s="16" t="str">
        <f t="shared" si="47"/>
        <v/>
      </c>
    </row>
    <row r="493" spans="1:14" x14ac:dyDescent="0.2">
      <c r="A493" s="32"/>
      <c r="B493" s="27"/>
      <c r="C493" s="15" t="str">
        <f>IF(B493="","",IFERROR(INDEX(Items!$B$5:$B$19,MATCH(B493,Items!$A$5:$A$19,0)),"Unknown code"))</f>
        <v/>
      </c>
      <c r="D493" s="29"/>
      <c r="E493" s="18" t="str">
        <f>IF(B493="","",IFERROR(INDEX(Items!$C$5:$C$19,MATCH(B493,Items!$A$5:$A$19,0)),""))</f>
        <v/>
      </c>
      <c r="F493" s="18" t="str">
        <f t="shared" si="42"/>
        <v/>
      </c>
      <c r="G493" s="27"/>
      <c r="H493" s="23" t="str">
        <f>IF(OR(A493="",B493="",D493=""),"",IFERROR(INDEX(Items!$D$5:$D$19,MATCH(B493,Items!$A$5:$A$19,0))+SUMIFS(D$4:D492,B$4:B492,B493),""))</f>
        <v/>
      </c>
      <c r="I493" s="23" t="str">
        <f t="shared" si="43"/>
        <v/>
      </c>
      <c r="J493" s="23" t="str">
        <f t="shared" si="44"/>
        <v/>
      </c>
      <c r="K493" s="18" t="str">
        <f t="shared" si="45"/>
        <v/>
      </c>
      <c r="L493" s="16" t="str">
        <f t="shared" ca="1" si="46"/>
        <v/>
      </c>
      <c r="M493" s="25" t="str">
        <f>IF(H493="","",IF(I493&lt;=0,"Shipped",IF(L493&lt;=AGE30,"Fresh",IF(L493&lt;=AGE60,"Watch",IF(L493&lt;=AGE90,"Aging","Old")))))</f>
        <v/>
      </c>
      <c r="N493" s="16" t="str">
        <f t="shared" si="47"/>
        <v/>
      </c>
    </row>
    <row r="494" spans="1:14" x14ac:dyDescent="0.2">
      <c r="A494" s="32"/>
      <c r="B494" s="27"/>
      <c r="C494" s="15" t="str">
        <f>IF(B494="","",IFERROR(INDEX(Items!$B$5:$B$19,MATCH(B494,Items!$A$5:$A$19,0)),"Unknown code"))</f>
        <v/>
      </c>
      <c r="D494" s="29"/>
      <c r="E494" s="18" t="str">
        <f>IF(B494="","",IFERROR(INDEX(Items!$C$5:$C$19,MATCH(B494,Items!$A$5:$A$19,0)),""))</f>
        <v/>
      </c>
      <c r="F494" s="18" t="str">
        <f t="shared" si="42"/>
        <v/>
      </c>
      <c r="G494" s="27"/>
      <c r="H494" s="23" t="str">
        <f>IF(OR(A494="",B494="",D494=""),"",IFERROR(INDEX(Items!$D$5:$D$19,MATCH(B494,Items!$A$5:$A$19,0))+SUMIFS(D$4:D493,B$4:B493,B494),""))</f>
        <v/>
      </c>
      <c r="I494" s="23" t="str">
        <f t="shared" si="43"/>
        <v/>
      </c>
      <c r="J494" s="23" t="str">
        <f t="shared" si="44"/>
        <v/>
      </c>
      <c r="K494" s="18" t="str">
        <f t="shared" si="45"/>
        <v/>
      </c>
      <c r="L494" s="16" t="str">
        <f t="shared" ca="1" si="46"/>
        <v/>
      </c>
      <c r="M494" s="25" t="str">
        <f>IF(H494="","",IF(I494&lt;=0,"Shipped",IF(L494&lt;=AGE30,"Fresh",IF(L494&lt;=AGE60,"Watch",IF(L494&lt;=AGE90,"Aging","Old")))))</f>
        <v/>
      </c>
      <c r="N494" s="16" t="str">
        <f t="shared" si="47"/>
        <v/>
      </c>
    </row>
    <row r="495" spans="1:14" x14ac:dyDescent="0.2">
      <c r="A495" s="32"/>
      <c r="B495" s="27"/>
      <c r="C495" s="15" t="str">
        <f>IF(B495="","",IFERROR(INDEX(Items!$B$5:$B$19,MATCH(B495,Items!$A$5:$A$19,0)),"Unknown code"))</f>
        <v/>
      </c>
      <c r="D495" s="29"/>
      <c r="E495" s="18" t="str">
        <f>IF(B495="","",IFERROR(INDEX(Items!$C$5:$C$19,MATCH(B495,Items!$A$5:$A$19,0)),""))</f>
        <v/>
      </c>
      <c r="F495" s="18" t="str">
        <f t="shared" si="42"/>
        <v/>
      </c>
      <c r="G495" s="27"/>
      <c r="H495" s="23" t="str">
        <f>IF(OR(A495="",B495="",D495=""),"",IFERROR(INDEX(Items!$D$5:$D$19,MATCH(B495,Items!$A$5:$A$19,0))+SUMIFS(D$4:D494,B$4:B494,B495),""))</f>
        <v/>
      </c>
      <c r="I495" s="23" t="str">
        <f t="shared" si="43"/>
        <v/>
      </c>
      <c r="J495" s="23" t="str">
        <f t="shared" si="44"/>
        <v/>
      </c>
      <c r="K495" s="18" t="str">
        <f t="shared" si="45"/>
        <v/>
      </c>
      <c r="L495" s="16" t="str">
        <f t="shared" ca="1" si="46"/>
        <v/>
      </c>
      <c r="M495" s="25" t="str">
        <f>IF(H495="","",IF(I495&lt;=0,"Shipped",IF(L495&lt;=AGE30,"Fresh",IF(L495&lt;=AGE60,"Watch",IF(L495&lt;=AGE90,"Aging","Old")))))</f>
        <v/>
      </c>
      <c r="N495" s="16" t="str">
        <f t="shared" si="47"/>
        <v/>
      </c>
    </row>
    <row r="496" spans="1:14" x14ac:dyDescent="0.2">
      <c r="A496" s="32"/>
      <c r="B496" s="27"/>
      <c r="C496" s="15" t="str">
        <f>IF(B496="","",IFERROR(INDEX(Items!$B$5:$B$19,MATCH(B496,Items!$A$5:$A$19,0)),"Unknown code"))</f>
        <v/>
      </c>
      <c r="D496" s="29"/>
      <c r="E496" s="18" t="str">
        <f>IF(B496="","",IFERROR(INDEX(Items!$C$5:$C$19,MATCH(B496,Items!$A$5:$A$19,0)),""))</f>
        <v/>
      </c>
      <c r="F496" s="18" t="str">
        <f t="shared" si="42"/>
        <v/>
      </c>
      <c r="G496" s="27"/>
      <c r="H496" s="23" t="str">
        <f>IF(OR(A496="",B496="",D496=""),"",IFERROR(INDEX(Items!$D$5:$D$19,MATCH(B496,Items!$A$5:$A$19,0))+SUMIFS(D$4:D495,B$4:B495,B496),""))</f>
        <v/>
      </c>
      <c r="I496" s="23" t="str">
        <f t="shared" si="43"/>
        <v/>
      </c>
      <c r="J496" s="23" t="str">
        <f t="shared" si="44"/>
        <v/>
      </c>
      <c r="K496" s="18" t="str">
        <f t="shared" si="45"/>
        <v/>
      </c>
      <c r="L496" s="16" t="str">
        <f t="shared" ca="1" si="46"/>
        <v/>
      </c>
      <c r="M496" s="25" t="str">
        <f>IF(H496="","",IF(I496&lt;=0,"Shipped",IF(L496&lt;=AGE30,"Fresh",IF(L496&lt;=AGE60,"Watch",IF(L496&lt;=AGE90,"Aging","Old")))))</f>
        <v/>
      </c>
      <c r="N496" s="16" t="str">
        <f t="shared" si="47"/>
        <v/>
      </c>
    </row>
    <row r="497" spans="1:14" x14ac:dyDescent="0.2">
      <c r="A497" s="32"/>
      <c r="B497" s="27"/>
      <c r="C497" s="15" t="str">
        <f>IF(B497="","",IFERROR(INDEX(Items!$B$5:$B$19,MATCH(B497,Items!$A$5:$A$19,0)),"Unknown code"))</f>
        <v/>
      </c>
      <c r="D497" s="29"/>
      <c r="E497" s="18" t="str">
        <f>IF(B497="","",IFERROR(INDEX(Items!$C$5:$C$19,MATCH(B497,Items!$A$5:$A$19,0)),""))</f>
        <v/>
      </c>
      <c r="F497" s="18" t="str">
        <f t="shared" si="42"/>
        <v/>
      </c>
      <c r="G497" s="27"/>
      <c r="H497" s="23" t="str">
        <f>IF(OR(A497="",B497="",D497=""),"",IFERROR(INDEX(Items!$D$5:$D$19,MATCH(B497,Items!$A$5:$A$19,0))+SUMIFS(D$4:D496,B$4:B496,B497),""))</f>
        <v/>
      </c>
      <c r="I497" s="23" t="str">
        <f t="shared" si="43"/>
        <v/>
      </c>
      <c r="J497" s="23" t="str">
        <f t="shared" si="44"/>
        <v/>
      </c>
      <c r="K497" s="18" t="str">
        <f t="shared" si="45"/>
        <v/>
      </c>
      <c r="L497" s="16" t="str">
        <f t="shared" ca="1" si="46"/>
        <v/>
      </c>
      <c r="M497" s="25" t="str">
        <f>IF(H497="","",IF(I497&lt;=0,"Shipped",IF(L497&lt;=AGE30,"Fresh",IF(L497&lt;=AGE60,"Watch",IF(L497&lt;=AGE90,"Aging","Old")))))</f>
        <v/>
      </c>
      <c r="N497" s="16" t="str">
        <f t="shared" si="47"/>
        <v/>
      </c>
    </row>
    <row r="498" spans="1:14" x14ac:dyDescent="0.2">
      <c r="A498" s="32"/>
      <c r="B498" s="27"/>
      <c r="C498" s="15" t="str">
        <f>IF(B498="","",IFERROR(INDEX(Items!$B$5:$B$19,MATCH(B498,Items!$A$5:$A$19,0)),"Unknown code"))</f>
        <v/>
      </c>
      <c r="D498" s="29"/>
      <c r="E498" s="18" t="str">
        <f>IF(B498="","",IFERROR(INDEX(Items!$C$5:$C$19,MATCH(B498,Items!$A$5:$A$19,0)),""))</f>
        <v/>
      </c>
      <c r="F498" s="18" t="str">
        <f t="shared" si="42"/>
        <v/>
      </c>
      <c r="G498" s="27"/>
      <c r="H498" s="23" t="str">
        <f>IF(OR(A498="",B498="",D498=""),"",IFERROR(INDEX(Items!$D$5:$D$19,MATCH(B498,Items!$A$5:$A$19,0))+SUMIFS(D$4:D497,B$4:B497,B498),""))</f>
        <v/>
      </c>
      <c r="I498" s="23" t="str">
        <f t="shared" si="43"/>
        <v/>
      </c>
      <c r="J498" s="23" t="str">
        <f t="shared" si="44"/>
        <v/>
      </c>
      <c r="K498" s="18" t="str">
        <f t="shared" si="45"/>
        <v/>
      </c>
      <c r="L498" s="16" t="str">
        <f t="shared" ca="1" si="46"/>
        <v/>
      </c>
      <c r="M498" s="25" t="str">
        <f>IF(H498="","",IF(I498&lt;=0,"Shipped",IF(L498&lt;=AGE30,"Fresh",IF(L498&lt;=AGE60,"Watch",IF(L498&lt;=AGE90,"Aging","Old")))))</f>
        <v/>
      </c>
      <c r="N498" s="16" t="str">
        <f t="shared" si="47"/>
        <v/>
      </c>
    </row>
    <row r="499" spans="1:14" x14ac:dyDescent="0.2">
      <c r="A499" s="32"/>
      <c r="B499" s="27"/>
      <c r="C499" s="15" t="str">
        <f>IF(B499="","",IFERROR(INDEX(Items!$B$5:$B$19,MATCH(B499,Items!$A$5:$A$19,0)),"Unknown code"))</f>
        <v/>
      </c>
      <c r="D499" s="29"/>
      <c r="E499" s="18" t="str">
        <f>IF(B499="","",IFERROR(INDEX(Items!$C$5:$C$19,MATCH(B499,Items!$A$5:$A$19,0)),""))</f>
        <v/>
      </c>
      <c r="F499" s="18" t="str">
        <f t="shared" si="42"/>
        <v/>
      </c>
      <c r="G499" s="27"/>
      <c r="H499" s="23" t="str">
        <f>IF(OR(A499="",B499="",D499=""),"",IFERROR(INDEX(Items!$D$5:$D$19,MATCH(B499,Items!$A$5:$A$19,0))+SUMIFS(D$4:D498,B$4:B498,B499),""))</f>
        <v/>
      </c>
      <c r="I499" s="23" t="str">
        <f t="shared" si="43"/>
        <v/>
      </c>
      <c r="J499" s="23" t="str">
        <f t="shared" si="44"/>
        <v/>
      </c>
      <c r="K499" s="18" t="str">
        <f t="shared" si="45"/>
        <v/>
      </c>
      <c r="L499" s="16" t="str">
        <f t="shared" ca="1" si="46"/>
        <v/>
      </c>
      <c r="M499" s="25" t="str">
        <f>IF(H499="","",IF(I499&lt;=0,"Shipped",IF(L499&lt;=AGE30,"Fresh",IF(L499&lt;=AGE60,"Watch",IF(L499&lt;=AGE90,"Aging","Old")))))</f>
        <v/>
      </c>
      <c r="N499" s="16" t="str">
        <f t="shared" si="47"/>
        <v/>
      </c>
    </row>
    <row r="500" spans="1:14" x14ac:dyDescent="0.2">
      <c r="A500" s="32"/>
      <c r="B500" s="27"/>
      <c r="C500" s="15" t="str">
        <f>IF(B500="","",IFERROR(INDEX(Items!$B$5:$B$19,MATCH(B500,Items!$A$5:$A$19,0)),"Unknown code"))</f>
        <v/>
      </c>
      <c r="D500" s="29"/>
      <c r="E500" s="18" t="str">
        <f>IF(B500="","",IFERROR(INDEX(Items!$C$5:$C$19,MATCH(B500,Items!$A$5:$A$19,0)),""))</f>
        <v/>
      </c>
      <c r="F500" s="18" t="str">
        <f t="shared" si="42"/>
        <v/>
      </c>
      <c r="G500" s="27"/>
      <c r="H500" s="23" t="str">
        <f>IF(OR(A500="",B500="",D500=""),"",IFERROR(INDEX(Items!$D$5:$D$19,MATCH(B500,Items!$A$5:$A$19,0))+SUMIFS(D$4:D499,B$4:B499,B500),""))</f>
        <v/>
      </c>
      <c r="I500" s="23" t="str">
        <f t="shared" si="43"/>
        <v/>
      </c>
      <c r="J500" s="23" t="str">
        <f t="shared" si="44"/>
        <v/>
      </c>
      <c r="K500" s="18" t="str">
        <f t="shared" si="45"/>
        <v/>
      </c>
      <c r="L500" s="16" t="str">
        <f t="shared" ca="1" si="46"/>
        <v/>
      </c>
      <c r="M500" s="25" t="str">
        <f>IF(H500="","",IF(I500&lt;=0,"Shipped",IF(L500&lt;=AGE30,"Fresh",IF(L500&lt;=AGE60,"Watch",IF(L500&lt;=AGE90,"Aging","Old")))))</f>
        <v/>
      </c>
      <c r="N500" s="16" t="str">
        <f t="shared" si="47"/>
        <v/>
      </c>
    </row>
    <row r="501" spans="1:14" x14ac:dyDescent="0.2">
      <c r="A501" s="32"/>
      <c r="B501" s="27"/>
      <c r="C501" s="15" t="str">
        <f>IF(B501="","",IFERROR(INDEX(Items!$B$5:$B$19,MATCH(B501,Items!$A$5:$A$19,0)),"Unknown code"))</f>
        <v/>
      </c>
      <c r="D501" s="29"/>
      <c r="E501" s="18" t="str">
        <f>IF(B501="","",IFERROR(INDEX(Items!$C$5:$C$19,MATCH(B501,Items!$A$5:$A$19,0)),""))</f>
        <v/>
      </c>
      <c r="F501" s="18" t="str">
        <f t="shared" si="42"/>
        <v/>
      </c>
      <c r="G501" s="27"/>
      <c r="H501" s="23" t="str">
        <f>IF(OR(A501="",B501="",D501=""),"",IFERROR(INDEX(Items!$D$5:$D$19,MATCH(B501,Items!$A$5:$A$19,0))+SUMIFS(D$4:D500,B$4:B500,B501),""))</f>
        <v/>
      </c>
      <c r="I501" s="23" t="str">
        <f t="shared" si="43"/>
        <v/>
      </c>
      <c r="J501" s="23" t="str">
        <f t="shared" si="44"/>
        <v/>
      </c>
      <c r="K501" s="18" t="str">
        <f t="shared" si="45"/>
        <v/>
      </c>
      <c r="L501" s="16" t="str">
        <f t="shared" ca="1" si="46"/>
        <v/>
      </c>
      <c r="M501" s="25" t="str">
        <f>IF(H501="","",IF(I501&lt;=0,"Shipped",IF(L501&lt;=AGE30,"Fresh",IF(L501&lt;=AGE60,"Watch",IF(L501&lt;=AGE90,"Aging","Old")))))</f>
        <v/>
      </c>
      <c r="N501" s="16" t="str">
        <f t="shared" si="47"/>
        <v/>
      </c>
    </row>
    <row r="502" spans="1:14" x14ac:dyDescent="0.2">
      <c r="A502" s="32"/>
      <c r="B502" s="27"/>
      <c r="C502" s="15" t="str">
        <f>IF(B502="","",IFERROR(INDEX(Items!$B$5:$B$19,MATCH(B502,Items!$A$5:$A$19,0)),"Unknown code"))</f>
        <v/>
      </c>
      <c r="D502" s="29"/>
      <c r="E502" s="18" t="str">
        <f>IF(B502="","",IFERROR(INDEX(Items!$C$5:$C$19,MATCH(B502,Items!$A$5:$A$19,0)),""))</f>
        <v/>
      </c>
      <c r="F502" s="18" t="str">
        <f t="shared" si="42"/>
        <v/>
      </c>
      <c r="G502" s="27"/>
      <c r="H502" s="23" t="str">
        <f>IF(OR(A502="",B502="",D502=""),"",IFERROR(INDEX(Items!$D$5:$D$19,MATCH(B502,Items!$A$5:$A$19,0))+SUMIFS(D$4:D501,B$4:B501,B502),""))</f>
        <v/>
      </c>
      <c r="I502" s="23" t="str">
        <f t="shared" si="43"/>
        <v/>
      </c>
      <c r="J502" s="23" t="str">
        <f t="shared" si="44"/>
        <v/>
      </c>
      <c r="K502" s="18" t="str">
        <f t="shared" si="45"/>
        <v/>
      </c>
      <c r="L502" s="16" t="str">
        <f t="shared" ca="1" si="46"/>
        <v/>
      </c>
      <c r="M502" s="25" t="str">
        <f>IF(H502="","",IF(I502&lt;=0,"Shipped",IF(L502&lt;=AGE30,"Fresh",IF(L502&lt;=AGE60,"Watch",IF(L502&lt;=AGE90,"Aging","Old")))))</f>
        <v/>
      </c>
      <c r="N502" s="16" t="str">
        <f t="shared" si="47"/>
        <v/>
      </c>
    </row>
    <row r="503" spans="1:14" x14ac:dyDescent="0.2">
      <c r="A503" s="32"/>
      <c r="B503" s="27"/>
      <c r="C503" s="15" t="str">
        <f>IF(B503="","",IFERROR(INDEX(Items!$B$5:$B$19,MATCH(B503,Items!$A$5:$A$19,0)),"Unknown code"))</f>
        <v/>
      </c>
      <c r="D503" s="29"/>
      <c r="E503" s="18" t="str">
        <f>IF(B503="","",IFERROR(INDEX(Items!$C$5:$C$19,MATCH(B503,Items!$A$5:$A$19,0)),""))</f>
        <v/>
      </c>
      <c r="F503" s="18" t="str">
        <f t="shared" si="42"/>
        <v/>
      </c>
      <c r="G503" s="27"/>
      <c r="H503" s="23" t="str">
        <f>IF(OR(A503="",B503="",D503=""),"",IFERROR(INDEX(Items!$D$5:$D$19,MATCH(B503,Items!$A$5:$A$19,0))+SUMIFS(D$4:D502,B$4:B502,B503),""))</f>
        <v/>
      </c>
      <c r="I503" s="23" t="str">
        <f t="shared" si="43"/>
        <v/>
      </c>
      <c r="J503" s="23" t="str">
        <f t="shared" si="44"/>
        <v/>
      </c>
      <c r="K503" s="18" t="str">
        <f t="shared" si="45"/>
        <v/>
      </c>
      <c r="L503" s="16" t="str">
        <f t="shared" ca="1" si="46"/>
        <v/>
      </c>
      <c r="M503" s="25" t="str">
        <f>IF(H503="","",IF(I503&lt;=0,"Shipped",IF(L503&lt;=AGE30,"Fresh",IF(L503&lt;=AGE60,"Watch",IF(L503&lt;=AGE90,"Aging","Old")))))</f>
        <v/>
      </c>
      <c r="N503" s="16" t="str">
        <f t="shared" si="47"/>
        <v/>
      </c>
    </row>
    <row r="504" spans="1:14" x14ac:dyDescent="0.2">
      <c r="A504" s="32"/>
      <c r="B504" s="27"/>
      <c r="C504" s="15" t="str">
        <f>IF(B504="","",IFERROR(INDEX(Items!$B$5:$B$19,MATCH(B504,Items!$A$5:$A$19,0)),"Unknown code"))</f>
        <v/>
      </c>
      <c r="D504" s="29"/>
      <c r="E504" s="18" t="str">
        <f>IF(B504="","",IFERROR(INDEX(Items!$C$5:$C$19,MATCH(B504,Items!$A$5:$A$19,0)),""))</f>
        <v/>
      </c>
      <c r="F504" s="18" t="str">
        <f t="shared" si="42"/>
        <v/>
      </c>
      <c r="G504" s="27"/>
      <c r="H504" s="23" t="str">
        <f>IF(OR(A504="",B504="",D504=""),"",IFERROR(INDEX(Items!$D$5:$D$19,MATCH(B504,Items!$A$5:$A$19,0))+SUMIFS(D$4:D503,B$4:B503,B504),""))</f>
        <v/>
      </c>
      <c r="I504" s="23" t="str">
        <f t="shared" si="43"/>
        <v/>
      </c>
      <c r="J504" s="23" t="str">
        <f t="shared" si="44"/>
        <v/>
      </c>
      <c r="K504" s="18" t="str">
        <f t="shared" si="45"/>
        <v/>
      </c>
      <c r="L504" s="16" t="str">
        <f t="shared" ca="1" si="46"/>
        <v/>
      </c>
      <c r="M504" s="25" t="str">
        <f>IF(H504="","",IF(I504&lt;=0,"Shipped",IF(L504&lt;=AGE30,"Fresh",IF(L504&lt;=AGE60,"Watch",IF(L504&lt;=AGE90,"Aging","Old")))))</f>
        <v/>
      </c>
      <c r="N504" s="16" t="str">
        <f t="shared" si="47"/>
        <v/>
      </c>
    </row>
    <row r="505" spans="1:14" x14ac:dyDescent="0.2">
      <c r="A505" s="32"/>
      <c r="B505" s="27"/>
      <c r="C505" s="15" t="str">
        <f>IF(B505="","",IFERROR(INDEX(Items!$B$5:$B$19,MATCH(B505,Items!$A$5:$A$19,0)),"Unknown code"))</f>
        <v/>
      </c>
      <c r="D505" s="29"/>
      <c r="E505" s="18" t="str">
        <f>IF(B505="","",IFERROR(INDEX(Items!$C$5:$C$19,MATCH(B505,Items!$A$5:$A$19,0)),""))</f>
        <v/>
      </c>
      <c r="F505" s="18" t="str">
        <f t="shared" si="42"/>
        <v/>
      </c>
      <c r="G505" s="27"/>
      <c r="H505" s="23" t="str">
        <f>IF(OR(A505="",B505="",D505=""),"",IFERROR(INDEX(Items!$D$5:$D$19,MATCH(B505,Items!$A$5:$A$19,0))+SUMIFS(D$4:D504,B$4:B504,B505),""))</f>
        <v/>
      </c>
      <c r="I505" s="23" t="str">
        <f t="shared" si="43"/>
        <v/>
      </c>
      <c r="J505" s="23" t="str">
        <f t="shared" si="44"/>
        <v/>
      </c>
      <c r="K505" s="18" t="str">
        <f t="shared" si="45"/>
        <v/>
      </c>
      <c r="L505" s="16" t="str">
        <f t="shared" ca="1" si="46"/>
        <v/>
      </c>
      <c r="M505" s="25" t="str">
        <f>IF(H505="","",IF(I505&lt;=0,"Shipped",IF(L505&lt;=AGE30,"Fresh",IF(L505&lt;=AGE60,"Watch",IF(L505&lt;=AGE90,"Aging","Old")))))</f>
        <v/>
      </c>
      <c r="N505" s="16" t="str">
        <f t="shared" si="47"/>
        <v/>
      </c>
    </row>
    <row r="506" spans="1:14" x14ac:dyDescent="0.2">
      <c r="A506" s="32"/>
      <c r="B506" s="27"/>
      <c r="C506" s="15" t="str">
        <f>IF(B506="","",IFERROR(INDEX(Items!$B$5:$B$19,MATCH(B506,Items!$A$5:$A$19,0)),"Unknown code"))</f>
        <v/>
      </c>
      <c r="D506" s="29"/>
      <c r="E506" s="18" t="str">
        <f>IF(B506="","",IFERROR(INDEX(Items!$C$5:$C$19,MATCH(B506,Items!$A$5:$A$19,0)),""))</f>
        <v/>
      </c>
      <c r="F506" s="18" t="str">
        <f t="shared" si="42"/>
        <v/>
      </c>
      <c r="G506" s="27"/>
      <c r="H506" s="23" t="str">
        <f>IF(OR(A506="",B506="",D506=""),"",IFERROR(INDEX(Items!$D$5:$D$19,MATCH(B506,Items!$A$5:$A$19,0))+SUMIFS(D$4:D505,B$4:B505,B506),""))</f>
        <v/>
      </c>
      <c r="I506" s="23" t="str">
        <f t="shared" si="43"/>
        <v/>
      </c>
      <c r="J506" s="23" t="str">
        <f t="shared" si="44"/>
        <v/>
      </c>
      <c r="K506" s="18" t="str">
        <f t="shared" si="45"/>
        <v/>
      </c>
      <c r="L506" s="16" t="str">
        <f t="shared" ca="1" si="46"/>
        <v/>
      </c>
      <c r="M506" s="25" t="str">
        <f>IF(H506="","",IF(I506&lt;=0,"Shipped",IF(L506&lt;=AGE30,"Fresh",IF(L506&lt;=AGE60,"Watch",IF(L506&lt;=AGE90,"Aging","Old")))))</f>
        <v/>
      </c>
      <c r="N506" s="16" t="str">
        <f t="shared" si="47"/>
        <v/>
      </c>
    </row>
    <row r="507" spans="1:14" x14ac:dyDescent="0.2">
      <c r="A507" s="32"/>
      <c r="B507" s="27"/>
      <c r="C507" s="15" t="str">
        <f>IF(B507="","",IFERROR(INDEX(Items!$B$5:$B$19,MATCH(B507,Items!$A$5:$A$19,0)),"Unknown code"))</f>
        <v/>
      </c>
      <c r="D507" s="29"/>
      <c r="E507" s="18" t="str">
        <f>IF(B507="","",IFERROR(INDEX(Items!$C$5:$C$19,MATCH(B507,Items!$A$5:$A$19,0)),""))</f>
        <v/>
      </c>
      <c r="F507" s="18" t="str">
        <f t="shared" si="42"/>
        <v/>
      </c>
      <c r="G507" s="27"/>
      <c r="H507" s="23" t="str">
        <f>IF(OR(A507="",B507="",D507=""),"",IFERROR(INDEX(Items!$D$5:$D$19,MATCH(B507,Items!$A$5:$A$19,0))+SUMIFS(D$4:D506,B$4:B506,B507),""))</f>
        <v/>
      </c>
      <c r="I507" s="23" t="str">
        <f t="shared" si="43"/>
        <v/>
      </c>
      <c r="J507" s="23" t="str">
        <f t="shared" si="44"/>
        <v/>
      </c>
      <c r="K507" s="18" t="str">
        <f t="shared" si="45"/>
        <v/>
      </c>
      <c r="L507" s="16" t="str">
        <f t="shared" ca="1" si="46"/>
        <v/>
      </c>
      <c r="M507" s="25" t="str">
        <f>IF(H507="","",IF(I507&lt;=0,"Shipped",IF(L507&lt;=AGE30,"Fresh",IF(L507&lt;=AGE60,"Watch",IF(L507&lt;=AGE90,"Aging","Old")))))</f>
        <v/>
      </c>
      <c r="N507" s="16" t="str">
        <f t="shared" si="47"/>
        <v/>
      </c>
    </row>
    <row r="508" spans="1:14" x14ac:dyDescent="0.2">
      <c r="A508" s="32"/>
      <c r="B508" s="27"/>
      <c r="C508" s="15" t="str">
        <f>IF(B508="","",IFERROR(INDEX(Items!$B$5:$B$19,MATCH(B508,Items!$A$5:$A$19,0)),"Unknown code"))</f>
        <v/>
      </c>
      <c r="D508" s="29"/>
      <c r="E508" s="18" t="str">
        <f>IF(B508="","",IFERROR(INDEX(Items!$C$5:$C$19,MATCH(B508,Items!$A$5:$A$19,0)),""))</f>
        <v/>
      </c>
      <c r="F508" s="18" t="str">
        <f t="shared" si="42"/>
        <v/>
      </c>
      <c r="G508" s="27"/>
      <c r="H508" s="23" t="str">
        <f>IF(OR(A508="",B508="",D508=""),"",IFERROR(INDEX(Items!$D$5:$D$19,MATCH(B508,Items!$A$5:$A$19,0))+SUMIFS(D$4:D507,B$4:B507,B508),""))</f>
        <v/>
      </c>
      <c r="I508" s="23" t="str">
        <f t="shared" si="43"/>
        <v/>
      </c>
      <c r="J508" s="23" t="str">
        <f t="shared" si="44"/>
        <v/>
      </c>
      <c r="K508" s="18" t="str">
        <f t="shared" si="45"/>
        <v/>
      </c>
      <c r="L508" s="16" t="str">
        <f t="shared" ca="1" si="46"/>
        <v/>
      </c>
      <c r="M508" s="25" t="str">
        <f>IF(H508="","",IF(I508&lt;=0,"Shipped",IF(L508&lt;=AGE30,"Fresh",IF(L508&lt;=AGE60,"Watch",IF(L508&lt;=AGE90,"Aging","Old")))))</f>
        <v/>
      </c>
      <c r="N508" s="16" t="str">
        <f t="shared" si="47"/>
        <v/>
      </c>
    </row>
    <row r="509" spans="1:14" x14ac:dyDescent="0.2">
      <c r="A509" s="32"/>
      <c r="B509" s="27"/>
      <c r="C509" s="15" t="str">
        <f>IF(B509="","",IFERROR(INDEX(Items!$B$5:$B$19,MATCH(B509,Items!$A$5:$A$19,0)),"Unknown code"))</f>
        <v/>
      </c>
      <c r="D509" s="29"/>
      <c r="E509" s="18" t="str">
        <f>IF(B509="","",IFERROR(INDEX(Items!$C$5:$C$19,MATCH(B509,Items!$A$5:$A$19,0)),""))</f>
        <v/>
      </c>
      <c r="F509" s="18" t="str">
        <f t="shared" si="42"/>
        <v/>
      </c>
      <c r="G509" s="27"/>
      <c r="H509" s="23" t="str">
        <f>IF(OR(A509="",B509="",D509=""),"",IFERROR(INDEX(Items!$D$5:$D$19,MATCH(B509,Items!$A$5:$A$19,0))+SUMIFS(D$4:D508,B$4:B508,B509),""))</f>
        <v/>
      </c>
      <c r="I509" s="23" t="str">
        <f t="shared" si="43"/>
        <v/>
      </c>
      <c r="J509" s="23" t="str">
        <f t="shared" si="44"/>
        <v/>
      </c>
      <c r="K509" s="18" t="str">
        <f t="shared" si="45"/>
        <v/>
      </c>
      <c r="L509" s="16" t="str">
        <f t="shared" ca="1" si="46"/>
        <v/>
      </c>
      <c r="M509" s="25" t="str">
        <f>IF(H509="","",IF(I509&lt;=0,"Shipped",IF(L509&lt;=AGE30,"Fresh",IF(L509&lt;=AGE60,"Watch",IF(L509&lt;=AGE90,"Aging","Old")))))</f>
        <v/>
      </c>
      <c r="N509" s="16" t="str">
        <f t="shared" si="47"/>
        <v/>
      </c>
    </row>
    <row r="510" spans="1:14" x14ac:dyDescent="0.2">
      <c r="A510" s="32"/>
      <c r="B510" s="27"/>
      <c r="C510" s="15" t="str">
        <f>IF(B510="","",IFERROR(INDEX(Items!$B$5:$B$19,MATCH(B510,Items!$A$5:$A$19,0)),"Unknown code"))</f>
        <v/>
      </c>
      <c r="D510" s="29"/>
      <c r="E510" s="18" t="str">
        <f>IF(B510="","",IFERROR(INDEX(Items!$C$5:$C$19,MATCH(B510,Items!$A$5:$A$19,0)),""))</f>
        <v/>
      </c>
      <c r="F510" s="18" t="str">
        <f t="shared" si="42"/>
        <v/>
      </c>
      <c r="G510" s="27"/>
      <c r="H510" s="23" t="str">
        <f>IF(OR(A510="",B510="",D510=""),"",IFERROR(INDEX(Items!$D$5:$D$19,MATCH(B510,Items!$A$5:$A$19,0))+SUMIFS(D$4:D509,B$4:B509,B510),""))</f>
        <v/>
      </c>
      <c r="I510" s="23" t="str">
        <f t="shared" si="43"/>
        <v/>
      </c>
      <c r="J510" s="23" t="str">
        <f t="shared" si="44"/>
        <v/>
      </c>
      <c r="K510" s="18" t="str">
        <f t="shared" si="45"/>
        <v/>
      </c>
      <c r="L510" s="16" t="str">
        <f t="shared" ca="1" si="46"/>
        <v/>
      </c>
      <c r="M510" s="25" t="str">
        <f>IF(H510="","",IF(I510&lt;=0,"Shipped",IF(L510&lt;=AGE30,"Fresh",IF(L510&lt;=AGE60,"Watch",IF(L510&lt;=AGE90,"Aging","Old")))))</f>
        <v/>
      </c>
      <c r="N510" s="16" t="str">
        <f t="shared" si="47"/>
        <v/>
      </c>
    </row>
    <row r="511" spans="1:14" x14ac:dyDescent="0.2">
      <c r="A511" s="32"/>
      <c r="B511" s="27"/>
      <c r="C511" s="15" t="str">
        <f>IF(B511="","",IFERROR(INDEX(Items!$B$5:$B$19,MATCH(B511,Items!$A$5:$A$19,0)),"Unknown code"))</f>
        <v/>
      </c>
      <c r="D511" s="29"/>
      <c r="E511" s="18" t="str">
        <f>IF(B511="","",IFERROR(INDEX(Items!$C$5:$C$19,MATCH(B511,Items!$A$5:$A$19,0)),""))</f>
        <v/>
      </c>
      <c r="F511" s="18" t="str">
        <f t="shared" si="42"/>
        <v/>
      </c>
      <c r="G511" s="27"/>
      <c r="H511" s="23" t="str">
        <f>IF(OR(A511="",B511="",D511=""),"",IFERROR(INDEX(Items!$D$5:$D$19,MATCH(B511,Items!$A$5:$A$19,0))+SUMIFS(D$4:D510,B$4:B510,B511),""))</f>
        <v/>
      </c>
      <c r="I511" s="23" t="str">
        <f t="shared" si="43"/>
        <v/>
      </c>
      <c r="J511" s="23" t="str">
        <f t="shared" si="44"/>
        <v/>
      </c>
      <c r="K511" s="18" t="str">
        <f t="shared" si="45"/>
        <v/>
      </c>
      <c r="L511" s="16" t="str">
        <f t="shared" ca="1" si="46"/>
        <v/>
      </c>
      <c r="M511" s="25" t="str">
        <f>IF(H511="","",IF(I511&lt;=0,"Shipped",IF(L511&lt;=AGE30,"Fresh",IF(L511&lt;=AGE60,"Watch",IF(L511&lt;=AGE90,"Aging","Old")))))</f>
        <v/>
      </c>
      <c r="N511" s="16" t="str">
        <f t="shared" si="47"/>
        <v/>
      </c>
    </row>
    <row r="512" spans="1:14" x14ac:dyDescent="0.2">
      <c r="A512" s="32"/>
      <c r="B512" s="27"/>
      <c r="C512" s="15" t="str">
        <f>IF(B512="","",IFERROR(INDEX(Items!$B$5:$B$19,MATCH(B512,Items!$A$5:$A$19,0)),"Unknown code"))</f>
        <v/>
      </c>
      <c r="D512" s="29"/>
      <c r="E512" s="18" t="str">
        <f>IF(B512="","",IFERROR(INDEX(Items!$C$5:$C$19,MATCH(B512,Items!$A$5:$A$19,0)),""))</f>
        <v/>
      </c>
      <c r="F512" s="18" t="str">
        <f t="shared" si="42"/>
        <v/>
      </c>
      <c r="G512" s="27"/>
      <c r="H512" s="23" t="str">
        <f>IF(OR(A512="",B512="",D512=""),"",IFERROR(INDEX(Items!$D$5:$D$19,MATCH(B512,Items!$A$5:$A$19,0))+SUMIFS(D$4:D511,B$4:B511,B512),""))</f>
        <v/>
      </c>
      <c r="I512" s="23" t="str">
        <f t="shared" si="43"/>
        <v/>
      </c>
      <c r="J512" s="23" t="str">
        <f t="shared" si="44"/>
        <v/>
      </c>
      <c r="K512" s="18" t="str">
        <f t="shared" si="45"/>
        <v/>
      </c>
      <c r="L512" s="16" t="str">
        <f t="shared" ca="1" si="46"/>
        <v/>
      </c>
      <c r="M512" s="25" t="str">
        <f>IF(H512="","",IF(I512&lt;=0,"Shipped",IF(L512&lt;=AGE30,"Fresh",IF(L512&lt;=AGE60,"Watch",IF(L512&lt;=AGE90,"Aging","Old")))))</f>
        <v/>
      </c>
      <c r="N512" s="16" t="str">
        <f t="shared" si="47"/>
        <v/>
      </c>
    </row>
    <row r="513" spans="1:14" x14ac:dyDescent="0.2">
      <c r="A513" s="32"/>
      <c r="B513" s="27"/>
      <c r="C513" s="15" t="str">
        <f>IF(B513="","",IFERROR(INDEX(Items!$B$5:$B$19,MATCH(B513,Items!$A$5:$A$19,0)),"Unknown code"))</f>
        <v/>
      </c>
      <c r="D513" s="29"/>
      <c r="E513" s="18" t="str">
        <f>IF(B513="","",IFERROR(INDEX(Items!$C$5:$C$19,MATCH(B513,Items!$A$5:$A$19,0)),""))</f>
        <v/>
      </c>
      <c r="F513" s="18" t="str">
        <f t="shared" si="42"/>
        <v/>
      </c>
      <c r="G513" s="27"/>
      <c r="H513" s="23" t="str">
        <f>IF(OR(A513="",B513="",D513=""),"",IFERROR(INDEX(Items!$D$5:$D$19,MATCH(B513,Items!$A$5:$A$19,0))+SUMIFS(D$4:D512,B$4:B512,B513),""))</f>
        <v/>
      </c>
      <c r="I513" s="23" t="str">
        <f t="shared" si="43"/>
        <v/>
      </c>
      <c r="J513" s="23" t="str">
        <f t="shared" si="44"/>
        <v/>
      </c>
      <c r="K513" s="18" t="str">
        <f t="shared" si="45"/>
        <v/>
      </c>
      <c r="L513" s="16" t="str">
        <f t="shared" ca="1" si="46"/>
        <v/>
      </c>
      <c r="M513" s="25" t="str">
        <f>IF(H513="","",IF(I513&lt;=0,"Shipped",IF(L513&lt;=AGE30,"Fresh",IF(L513&lt;=AGE60,"Watch",IF(L513&lt;=AGE90,"Aging","Old")))))</f>
        <v/>
      </c>
      <c r="N513" s="16" t="str">
        <f t="shared" si="47"/>
        <v/>
      </c>
    </row>
    <row r="514" spans="1:14" x14ac:dyDescent="0.2">
      <c r="A514" s="32"/>
      <c r="B514" s="27"/>
      <c r="C514" s="15" t="str">
        <f>IF(B514="","",IFERROR(INDEX(Items!$B$5:$B$19,MATCH(B514,Items!$A$5:$A$19,0)),"Unknown code"))</f>
        <v/>
      </c>
      <c r="D514" s="29"/>
      <c r="E514" s="18" t="str">
        <f>IF(B514="","",IFERROR(INDEX(Items!$C$5:$C$19,MATCH(B514,Items!$A$5:$A$19,0)),""))</f>
        <v/>
      </c>
      <c r="F514" s="18" t="str">
        <f t="shared" si="42"/>
        <v/>
      </c>
      <c r="G514" s="27"/>
      <c r="H514" s="23" t="str">
        <f>IF(OR(A514="",B514="",D514=""),"",IFERROR(INDEX(Items!$D$5:$D$19,MATCH(B514,Items!$A$5:$A$19,0))+SUMIFS(D$4:D513,B$4:B513,B514),""))</f>
        <v/>
      </c>
      <c r="I514" s="23" t="str">
        <f t="shared" si="43"/>
        <v/>
      </c>
      <c r="J514" s="23" t="str">
        <f t="shared" si="44"/>
        <v/>
      </c>
      <c r="K514" s="18" t="str">
        <f t="shared" si="45"/>
        <v/>
      </c>
      <c r="L514" s="16" t="str">
        <f t="shared" ca="1" si="46"/>
        <v/>
      </c>
      <c r="M514" s="25" t="str">
        <f>IF(H514="","",IF(I514&lt;=0,"Shipped",IF(L514&lt;=AGE30,"Fresh",IF(L514&lt;=AGE60,"Watch",IF(L514&lt;=AGE90,"Aging","Old")))))</f>
        <v/>
      </c>
      <c r="N514" s="16" t="str">
        <f t="shared" si="47"/>
        <v/>
      </c>
    </row>
    <row r="515" spans="1:14" x14ac:dyDescent="0.2">
      <c r="A515" s="32"/>
      <c r="B515" s="27"/>
      <c r="C515" s="15" t="str">
        <f>IF(B515="","",IFERROR(INDEX(Items!$B$5:$B$19,MATCH(B515,Items!$A$5:$A$19,0)),"Unknown code"))</f>
        <v/>
      </c>
      <c r="D515" s="29"/>
      <c r="E515" s="18" t="str">
        <f>IF(B515="","",IFERROR(INDEX(Items!$C$5:$C$19,MATCH(B515,Items!$A$5:$A$19,0)),""))</f>
        <v/>
      </c>
      <c r="F515" s="18" t="str">
        <f t="shared" si="42"/>
        <v/>
      </c>
      <c r="G515" s="27"/>
      <c r="H515" s="23" t="str">
        <f>IF(OR(A515="",B515="",D515=""),"",IFERROR(INDEX(Items!$D$5:$D$19,MATCH(B515,Items!$A$5:$A$19,0))+SUMIFS(D$4:D514,B$4:B514,B515),""))</f>
        <v/>
      </c>
      <c r="I515" s="23" t="str">
        <f t="shared" si="43"/>
        <v/>
      </c>
      <c r="J515" s="23" t="str">
        <f t="shared" si="44"/>
        <v/>
      </c>
      <c r="K515" s="18" t="str">
        <f t="shared" si="45"/>
        <v/>
      </c>
      <c r="L515" s="16" t="str">
        <f t="shared" ca="1" si="46"/>
        <v/>
      </c>
      <c r="M515" s="25" t="str">
        <f>IF(H515="","",IF(I515&lt;=0,"Shipped",IF(L515&lt;=AGE30,"Fresh",IF(L515&lt;=AGE60,"Watch",IF(L515&lt;=AGE90,"Aging","Old")))))</f>
        <v/>
      </c>
      <c r="N515" s="16" t="str">
        <f t="shared" si="47"/>
        <v/>
      </c>
    </row>
    <row r="516" spans="1:14" x14ac:dyDescent="0.2">
      <c r="A516" s="32"/>
      <c r="B516" s="27"/>
      <c r="C516" s="15" t="str">
        <f>IF(B516="","",IFERROR(INDEX(Items!$B$5:$B$19,MATCH(B516,Items!$A$5:$A$19,0)),"Unknown code"))</f>
        <v/>
      </c>
      <c r="D516" s="29"/>
      <c r="E516" s="18" t="str">
        <f>IF(B516="","",IFERROR(INDEX(Items!$C$5:$C$19,MATCH(B516,Items!$A$5:$A$19,0)),""))</f>
        <v/>
      </c>
      <c r="F516" s="18" t="str">
        <f t="shared" si="42"/>
        <v/>
      </c>
      <c r="G516" s="27"/>
      <c r="H516" s="23" t="str">
        <f>IF(OR(A516="",B516="",D516=""),"",IFERROR(INDEX(Items!$D$5:$D$19,MATCH(B516,Items!$A$5:$A$19,0))+SUMIFS(D$4:D515,B$4:B515,B516),""))</f>
        <v/>
      </c>
      <c r="I516" s="23" t="str">
        <f t="shared" si="43"/>
        <v/>
      </c>
      <c r="J516" s="23" t="str">
        <f t="shared" si="44"/>
        <v/>
      </c>
      <c r="K516" s="18" t="str">
        <f t="shared" si="45"/>
        <v/>
      </c>
      <c r="L516" s="16" t="str">
        <f t="shared" ca="1" si="46"/>
        <v/>
      </c>
      <c r="M516" s="25" t="str">
        <f>IF(H516="","",IF(I516&lt;=0,"Shipped",IF(L516&lt;=AGE30,"Fresh",IF(L516&lt;=AGE60,"Watch",IF(L516&lt;=AGE90,"Aging","Old")))))</f>
        <v/>
      </c>
      <c r="N516" s="16" t="str">
        <f t="shared" si="47"/>
        <v/>
      </c>
    </row>
    <row r="517" spans="1:14" x14ac:dyDescent="0.2">
      <c r="A517" s="32"/>
      <c r="B517" s="27"/>
      <c r="C517" s="15" t="str">
        <f>IF(B517="","",IFERROR(INDEX(Items!$B$5:$B$19,MATCH(B517,Items!$A$5:$A$19,0)),"Unknown code"))</f>
        <v/>
      </c>
      <c r="D517" s="29"/>
      <c r="E517" s="18" t="str">
        <f>IF(B517="","",IFERROR(INDEX(Items!$C$5:$C$19,MATCH(B517,Items!$A$5:$A$19,0)),""))</f>
        <v/>
      </c>
      <c r="F517" s="18" t="str">
        <f t="shared" ref="F517:F580" si="48">IF(OR(D517="",E517=""),"",D517*E517)</f>
        <v/>
      </c>
      <c r="G517" s="27"/>
      <c r="H517" s="23" t="str">
        <f>IF(OR(A517="",B517="",D517=""),"",IFERROR(INDEX(Items!$D$5:$D$19,MATCH(B517,Items!$A$5:$A$19,0))+SUMIFS(D$4:D516,B$4:B516,B517),""))</f>
        <v/>
      </c>
      <c r="I517" s="23" t="str">
        <f t="shared" ref="I517:I580" si="49">IF(H517="","",MAX(0,MIN(D517,H517+D517-TotalShipped)))</f>
        <v/>
      </c>
      <c r="J517" s="23" t="str">
        <f t="shared" ref="J517:J580" si="50">IF(H517="","",D517-I517)</f>
        <v/>
      </c>
      <c r="K517" s="18" t="str">
        <f t="shared" ref="K517:K580" si="51">IF(OR(H517="",E517=""),"",I517*E517)</f>
        <v/>
      </c>
      <c r="L517" s="16" t="str">
        <f t="shared" ref="L517:L580" ca="1" si="52">IF(H517="","",IF(I517&gt;0,TODAY()-A517,""))</f>
        <v/>
      </c>
      <c r="M517" s="25" t="str">
        <f>IF(H517="","",IF(I517&lt;=0,"Shipped",IF(L517&lt;=AGE30,"Fresh",IF(L517&lt;=AGE60,"Watch",IF(L517&lt;=AGE90,"Aging","Old")))))</f>
        <v/>
      </c>
      <c r="N517" s="16" t="str">
        <f t="shared" ref="N517:N580" si="53">IF(H517="","",J517*A517)</f>
        <v/>
      </c>
    </row>
    <row r="518" spans="1:14" x14ac:dyDescent="0.2">
      <c r="A518" s="32"/>
      <c r="B518" s="27"/>
      <c r="C518" s="15" t="str">
        <f>IF(B518="","",IFERROR(INDEX(Items!$B$5:$B$19,MATCH(B518,Items!$A$5:$A$19,0)),"Unknown code"))</f>
        <v/>
      </c>
      <c r="D518" s="29"/>
      <c r="E518" s="18" t="str">
        <f>IF(B518="","",IFERROR(INDEX(Items!$C$5:$C$19,MATCH(B518,Items!$A$5:$A$19,0)),""))</f>
        <v/>
      </c>
      <c r="F518" s="18" t="str">
        <f t="shared" si="48"/>
        <v/>
      </c>
      <c r="G518" s="27"/>
      <c r="H518" s="23" t="str">
        <f>IF(OR(A518="",B518="",D518=""),"",IFERROR(INDEX(Items!$D$5:$D$19,MATCH(B518,Items!$A$5:$A$19,0))+SUMIFS(D$4:D517,B$4:B517,B518),""))</f>
        <v/>
      </c>
      <c r="I518" s="23" t="str">
        <f t="shared" si="49"/>
        <v/>
      </c>
      <c r="J518" s="23" t="str">
        <f t="shared" si="50"/>
        <v/>
      </c>
      <c r="K518" s="18" t="str">
        <f t="shared" si="51"/>
        <v/>
      </c>
      <c r="L518" s="16" t="str">
        <f t="shared" ca="1" si="52"/>
        <v/>
      </c>
      <c r="M518" s="25" t="str">
        <f>IF(H518="","",IF(I518&lt;=0,"Shipped",IF(L518&lt;=AGE30,"Fresh",IF(L518&lt;=AGE60,"Watch",IF(L518&lt;=AGE90,"Aging","Old")))))</f>
        <v/>
      </c>
      <c r="N518" s="16" t="str">
        <f t="shared" si="53"/>
        <v/>
      </c>
    </row>
    <row r="519" spans="1:14" x14ac:dyDescent="0.2">
      <c r="A519" s="32"/>
      <c r="B519" s="27"/>
      <c r="C519" s="15" t="str">
        <f>IF(B519="","",IFERROR(INDEX(Items!$B$5:$B$19,MATCH(B519,Items!$A$5:$A$19,0)),"Unknown code"))</f>
        <v/>
      </c>
      <c r="D519" s="29"/>
      <c r="E519" s="18" t="str">
        <f>IF(B519="","",IFERROR(INDEX(Items!$C$5:$C$19,MATCH(B519,Items!$A$5:$A$19,0)),""))</f>
        <v/>
      </c>
      <c r="F519" s="18" t="str">
        <f t="shared" si="48"/>
        <v/>
      </c>
      <c r="G519" s="27"/>
      <c r="H519" s="23" t="str">
        <f>IF(OR(A519="",B519="",D519=""),"",IFERROR(INDEX(Items!$D$5:$D$19,MATCH(B519,Items!$A$5:$A$19,0))+SUMIFS(D$4:D518,B$4:B518,B519),""))</f>
        <v/>
      </c>
      <c r="I519" s="23" t="str">
        <f t="shared" si="49"/>
        <v/>
      </c>
      <c r="J519" s="23" t="str">
        <f t="shared" si="50"/>
        <v/>
      </c>
      <c r="K519" s="18" t="str">
        <f t="shared" si="51"/>
        <v/>
      </c>
      <c r="L519" s="16" t="str">
        <f t="shared" ca="1" si="52"/>
        <v/>
      </c>
      <c r="M519" s="25" t="str">
        <f>IF(H519="","",IF(I519&lt;=0,"Shipped",IF(L519&lt;=AGE30,"Fresh",IF(L519&lt;=AGE60,"Watch",IF(L519&lt;=AGE90,"Aging","Old")))))</f>
        <v/>
      </c>
      <c r="N519" s="16" t="str">
        <f t="shared" si="53"/>
        <v/>
      </c>
    </row>
    <row r="520" spans="1:14" x14ac:dyDescent="0.2">
      <c r="A520" s="32"/>
      <c r="B520" s="27"/>
      <c r="C520" s="15" t="str">
        <f>IF(B520="","",IFERROR(INDEX(Items!$B$5:$B$19,MATCH(B520,Items!$A$5:$A$19,0)),"Unknown code"))</f>
        <v/>
      </c>
      <c r="D520" s="29"/>
      <c r="E520" s="18" t="str">
        <f>IF(B520="","",IFERROR(INDEX(Items!$C$5:$C$19,MATCH(B520,Items!$A$5:$A$19,0)),""))</f>
        <v/>
      </c>
      <c r="F520" s="18" t="str">
        <f t="shared" si="48"/>
        <v/>
      </c>
      <c r="G520" s="27"/>
      <c r="H520" s="23" t="str">
        <f>IF(OR(A520="",B520="",D520=""),"",IFERROR(INDEX(Items!$D$5:$D$19,MATCH(B520,Items!$A$5:$A$19,0))+SUMIFS(D$4:D519,B$4:B519,B520),""))</f>
        <v/>
      </c>
      <c r="I520" s="23" t="str">
        <f t="shared" si="49"/>
        <v/>
      </c>
      <c r="J520" s="23" t="str">
        <f t="shared" si="50"/>
        <v/>
      </c>
      <c r="K520" s="18" t="str">
        <f t="shared" si="51"/>
        <v/>
      </c>
      <c r="L520" s="16" t="str">
        <f t="shared" ca="1" si="52"/>
        <v/>
      </c>
      <c r="M520" s="25" t="str">
        <f>IF(H520="","",IF(I520&lt;=0,"Shipped",IF(L520&lt;=AGE30,"Fresh",IF(L520&lt;=AGE60,"Watch",IF(L520&lt;=AGE90,"Aging","Old")))))</f>
        <v/>
      </c>
      <c r="N520" s="16" t="str">
        <f t="shared" si="53"/>
        <v/>
      </c>
    </row>
    <row r="521" spans="1:14" x14ac:dyDescent="0.2">
      <c r="A521" s="32"/>
      <c r="B521" s="27"/>
      <c r="C521" s="15" t="str">
        <f>IF(B521="","",IFERROR(INDEX(Items!$B$5:$B$19,MATCH(B521,Items!$A$5:$A$19,0)),"Unknown code"))</f>
        <v/>
      </c>
      <c r="D521" s="29"/>
      <c r="E521" s="18" t="str">
        <f>IF(B521="","",IFERROR(INDEX(Items!$C$5:$C$19,MATCH(B521,Items!$A$5:$A$19,0)),""))</f>
        <v/>
      </c>
      <c r="F521" s="18" t="str">
        <f t="shared" si="48"/>
        <v/>
      </c>
      <c r="G521" s="27"/>
      <c r="H521" s="23" t="str">
        <f>IF(OR(A521="",B521="",D521=""),"",IFERROR(INDEX(Items!$D$5:$D$19,MATCH(B521,Items!$A$5:$A$19,0))+SUMIFS(D$4:D520,B$4:B520,B521),""))</f>
        <v/>
      </c>
      <c r="I521" s="23" t="str">
        <f t="shared" si="49"/>
        <v/>
      </c>
      <c r="J521" s="23" t="str">
        <f t="shared" si="50"/>
        <v/>
      </c>
      <c r="K521" s="18" t="str">
        <f t="shared" si="51"/>
        <v/>
      </c>
      <c r="L521" s="16" t="str">
        <f t="shared" ca="1" si="52"/>
        <v/>
      </c>
      <c r="M521" s="25" t="str">
        <f>IF(H521="","",IF(I521&lt;=0,"Shipped",IF(L521&lt;=AGE30,"Fresh",IF(L521&lt;=AGE60,"Watch",IF(L521&lt;=AGE90,"Aging","Old")))))</f>
        <v/>
      </c>
      <c r="N521" s="16" t="str">
        <f t="shared" si="53"/>
        <v/>
      </c>
    </row>
    <row r="522" spans="1:14" x14ac:dyDescent="0.2">
      <c r="A522" s="32"/>
      <c r="B522" s="27"/>
      <c r="C522" s="15" t="str">
        <f>IF(B522="","",IFERROR(INDEX(Items!$B$5:$B$19,MATCH(B522,Items!$A$5:$A$19,0)),"Unknown code"))</f>
        <v/>
      </c>
      <c r="D522" s="29"/>
      <c r="E522" s="18" t="str">
        <f>IF(B522="","",IFERROR(INDEX(Items!$C$5:$C$19,MATCH(B522,Items!$A$5:$A$19,0)),""))</f>
        <v/>
      </c>
      <c r="F522" s="18" t="str">
        <f t="shared" si="48"/>
        <v/>
      </c>
      <c r="G522" s="27"/>
      <c r="H522" s="23" t="str">
        <f>IF(OR(A522="",B522="",D522=""),"",IFERROR(INDEX(Items!$D$5:$D$19,MATCH(B522,Items!$A$5:$A$19,0))+SUMIFS(D$4:D521,B$4:B521,B522),""))</f>
        <v/>
      </c>
      <c r="I522" s="23" t="str">
        <f t="shared" si="49"/>
        <v/>
      </c>
      <c r="J522" s="23" t="str">
        <f t="shared" si="50"/>
        <v/>
      </c>
      <c r="K522" s="18" t="str">
        <f t="shared" si="51"/>
        <v/>
      </c>
      <c r="L522" s="16" t="str">
        <f t="shared" ca="1" si="52"/>
        <v/>
      </c>
      <c r="M522" s="25" t="str">
        <f>IF(H522="","",IF(I522&lt;=0,"Shipped",IF(L522&lt;=AGE30,"Fresh",IF(L522&lt;=AGE60,"Watch",IF(L522&lt;=AGE90,"Aging","Old")))))</f>
        <v/>
      </c>
      <c r="N522" s="16" t="str">
        <f t="shared" si="53"/>
        <v/>
      </c>
    </row>
    <row r="523" spans="1:14" x14ac:dyDescent="0.2">
      <c r="A523" s="32"/>
      <c r="B523" s="27"/>
      <c r="C523" s="15" t="str">
        <f>IF(B523="","",IFERROR(INDEX(Items!$B$5:$B$19,MATCH(B523,Items!$A$5:$A$19,0)),"Unknown code"))</f>
        <v/>
      </c>
      <c r="D523" s="29"/>
      <c r="E523" s="18" t="str">
        <f>IF(B523="","",IFERROR(INDEX(Items!$C$5:$C$19,MATCH(B523,Items!$A$5:$A$19,0)),""))</f>
        <v/>
      </c>
      <c r="F523" s="18" t="str">
        <f t="shared" si="48"/>
        <v/>
      </c>
      <c r="G523" s="27"/>
      <c r="H523" s="23" t="str">
        <f>IF(OR(A523="",B523="",D523=""),"",IFERROR(INDEX(Items!$D$5:$D$19,MATCH(B523,Items!$A$5:$A$19,0))+SUMIFS(D$4:D522,B$4:B522,B523),""))</f>
        <v/>
      </c>
      <c r="I523" s="23" t="str">
        <f t="shared" si="49"/>
        <v/>
      </c>
      <c r="J523" s="23" t="str">
        <f t="shared" si="50"/>
        <v/>
      </c>
      <c r="K523" s="18" t="str">
        <f t="shared" si="51"/>
        <v/>
      </c>
      <c r="L523" s="16" t="str">
        <f t="shared" ca="1" si="52"/>
        <v/>
      </c>
      <c r="M523" s="25" t="str">
        <f>IF(H523="","",IF(I523&lt;=0,"Shipped",IF(L523&lt;=AGE30,"Fresh",IF(L523&lt;=AGE60,"Watch",IF(L523&lt;=AGE90,"Aging","Old")))))</f>
        <v/>
      </c>
      <c r="N523" s="16" t="str">
        <f t="shared" si="53"/>
        <v/>
      </c>
    </row>
    <row r="524" spans="1:14" x14ac:dyDescent="0.2">
      <c r="A524" s="32"/>
      <c r="B524" s="27"/>
      <c r="C524" s="15" t="str">
        <f>IF(B524="","",IFERROR(INDEX(Items!$B$5:$B$19,MATCH(B524,Items!$A$5:$A$19,0)),"Unknown code"))</f>
        <v/>
      </c>
      <c r="D524" s="29"/>
      <c r="E524" s="18" t="str">
        <f>IF(B524="","",IFERROR(INDEX(Items!$C$5:$C$19,MATCH(B524,Items!$A$5:$A$19,0)),""))</f>
        <v/>
      </c>
      <c r="F524" s="18" t="str">
        <f t="shared" si="48"/>
        <v/>
      </c>
      <c r="G524" s="27"/>
      <c r="H524" s="23" t="str">
        <f>IF(OR(A524="",B524="",D524=""),"",IFERROR(INDEX(Items!$D$5:$D$19,MATCH(B524,Items!$A$5:$A$19,0))+SUMIFS(D$4:D523,B$4:B523,B524),""))</f>
        <v/>
      </c>
      <c r="I524" s="23" t="str">
        <f t="shared" si="49"/>
        <v/>
      </c>
      <c r="J524" s="23" t="str">
        <f t="shared" si="50"/>
        <v/>
      </c>
      <c r="K524" s="18" t="str">
        <f t="shared" si="51"/>
        <v/>
      </c>
      <c r="L524" s="16" t="str">
        <f t="shared" ca="1" si="52"/>
        <v/>
      </c>
      <c r="M524" s="25" t="str">
        <f>IF(H524="","",IF(I524&lt;=0,"Shipped",IF(L524&lt;=AGE30,"Fresh",IF(L524&lt;=AGE60,"Watch",IF(L524&lt;=AGE90,"Aging","Old")))))</f>
        <v/>
      </c>
      <c r="N524" s="16" t="str">
        <f t="shared" si="53"/>
        <v/>
      </c>
    </row>
    <row r="525" spans="1:14" x14ac:dyDescent="0.2">
      <c r="A525" s="32"/>
      <c r="B525" s="27"/>
      <c r="C525" s="15" t="str">
        <f>IF(B525="","",IFERROR(INDEX(Items!$B$5:$B$19,MATCH(B525,Items!$A$5:$A$19,0)),"Unknown code"))</f>
        <v/>
      </c>
      <c r="D525" s="29"/>
      <c r="E525" s="18" t="str">
        <f>IF(B525="","",IFERROR(INDEX(Items!$C$5:$C$19,MATCH(B525,Items!$A$5:$A$19,0)),""))</f>
        <v/>
      </c>
      <c r="F525" s="18" t="str">
        <f t="shared" si="48"/>
        <v/>
      </c>
      <c r="G525" s="27"/>
      <c r="H525" s="23" t="str">
        <f>IF(OR(A525="",B525="",D525=""),"",IFERROR(INDEX(Items!$D$5:$D$19,MATCH(B525,Items!$A$5:$A$19,0))+SUMIFS(D$4:D524,B$4:B524,B525),""))</f>
        <v/>
      </c>
      <c r="I525" s="23" t="str">
        <f t="shared" si="49"/>
        <v/>
      </c>
      <c r="J525" s="23" t="str">
        <f t="shared" si="50"/>
        <v/>
      </c>
      <c r="K525" s="18" t="str">
        <f t="shared" si="51"/>
        <v/>
      </c>
      <c r="L525" s="16" t="str">
        <f t="shared" ca="1" si="52"/>
        <v/>
      </c>
      <c r="M525" s="25" t="str">
        <f>IF(H525="","",IF(I525&lt;=0,"Shipped",IF(L525&lt;=AGE30,"Fresh",IF(L525&lt;=AGE60,"Watch",IF(L525&lt;=AGE90,"Aging","Old")))))</f>
        <v/>
      </c>
      <c r="N525" s="16" t="str">
        <f t="shared" si="53"/>
        <v/>
      </c>
    </row>
    <row r="526" spans="1:14" x14ac:dyDescent="0.2">
      <c r="A526" s="32"/>
      <c r="B526" s="27"/>
      <c r="C526" s="15" t="str">
        <f>IF(B526="","",IFERROR(INDEX(Items!$B$5:$B$19,MATCH(B526,Items!$A$5:$A$19,0)),"Unknown code"))</f>
        <v/>
      </c>
      <c r="D526" s="29"/>
      <c r="E526" s="18" t="str">
        <f>IF(B526="","",IFERROR(INDEX(Items!$C$5:$C$19,MATCH(B526,Items!$A$5:$A$19,0)),""))</f>
        <v/>
      </c>
      <c r="F526" s="18" t="str">
        <f t="shared" si="48"/>
        <v/>
      </c>
      <c r="G526" s="27"/>
      <c r="H526" s="23" t="str">
        <f>IF(OR(A526="",B526="",D526=""),"",IFERROR(INDEX(Items!$D$5:$D$19,MATCH(B526,Items!$A$5:$A$19,0))+SUMIFS(D$4:D525,B$4:B525,B526),""))</f>
        <v/>
      </c>
      <c r="I526" s="23" t="str">
        <f t="shared" si="49"/>
        <v/>
      </c>
      <c r="J526" s="23" t="str">
        <f t="shared" si="50"/>
        <v/>
      </c>
      <c r="K526" s="18" t="str">
        <f t="shared" si="51"/>
        <v/>
      </c>
      <c r="L526" s="16" t="str">
        <f t="shared" ca="1" si="52"/>
        <v/>
      </c>
      <c r="M526" s="25" t="str">
        <f>IF(H526="","",IF(I526&lt;=0,"Shipped",IF(L526&lt;=AGE30,"Fresh",IF(L526&lt;=AGE60,"Watch",IF(L526&lt;=AGE90,"Aging","Old")))))</f>
        <v/>
      </c>
      <c r="N526" s="16" t="str">
        <f t="shared" si="53"/>
        <v/>
      </c>
    </row>
    <row r="527" spans="1:14" x14ac:dyDescent="0.2">
      <c r="A527" s="32"/>
      <c r="B527" s="27"/>
      <c r="C527" s="15" t="str">
        <f>IF(B527="","",IFERROR(INDEX(Items!$B$5:$B$19,MATCH(B527,Items!$A$5:$A$19,0)),"Unknown code"))</f>
        <v/>
      </c>
      <c r="D527" s="29"/>
      <c r="E527" s="18" t="str">
        <f>IF(B527="","",IFERROR(INDEX(Items!$C$5:$C$19,MATCH(B527,Items!$A$5:$A$19,0)),""))</f>
        <v/>
      </c>
      <c r="F527" s="18" t="str">
        <f t="shared" si="48"/>
        <v/>
      </c>
      <c r="G527" s="27"/>
      <c r="H527" s="23" t="str">
        <f>IF(OR(A527="",B527="",D527=""),"",IFERROR(INDEX(Items!$D$5:$D$19,MATCH(B527,Items!$A$5:$A$19,0))+SUMIFS(D$4:D526,B$4:B526,B527),""))</f>
        <v/>
      </c>
      <c r="I527" s="23" t="str">
        <f t="shared" si="49"/>
        <v/>
      </c>
      <c r="J527" s="23" t="str">
        <f t="shared" si="50"/>
        <v/>
      </c>
      <c r="K527" s="18" t="str">
        <f t="shared" si="51"/>
        <v/>
      </c>
      <c r="L527" s="16" t="str">
        <f t="shared" ca="1" si="52"/>
        <v/>
      </c>
      <c r="M527" s="25" t="str">
        <f>IF(H527="","",IF(I527&lt;=0,"Shipped",IF(L527&lt;=AGE30,"Fresh",IF(L527&lt;=AGE60,"Watch",IF(L527&lt;=AGE90,"Aging","Old")))))</f>
        <v/>
      </c>
      <c r="N527" s="16" t="str">
        <f t="shared" si="53"/>
        <v/>
      </c>
    </row>
    <row r="528" spans="1:14" x14ac:dyDescent="0.2">
      <c r="A528" s="32"/>
      <c r="B528" s="27"/>
      <c r="C528" s="15" t="str">
        <f>IF(B528="","",IFERROR(INDEX(Items!$B$5:$B$19,MATCH(B528,Items!$A$5:$A$19,0)),"Unknown code"))</f>
        <v/>
      </c>
      <c r="D528" s="29"/>
      <c r="E528" s="18" t="str">
        <f>IF(B528="","",IFERROR(INDEX(Items!$C$5:$C$19,MATCH(B528,Items!$A$5:$A$19,0)),""))</f>
        <v/>
      </c>
      <c r="F528" s="18" t="str">
        <f t="shared" si="48"/>
        <v/>
      </c>
      <c r="G528" s="27"/>
      <c r="H528" s="23" t="str">
        <f>IF(OR(A528="",B528="",D528=""),"",IFERROR(INDEX(Items!$D$5:$D$19,MATCH(B528,Items!$A$5:$A$19,0))+SUMIFS(D$4:D527,B$4:B527,B528),""))</f>
        <v/>
      </c>
      <c r="I528" s="23" t="str">
        <f t="shared" si="49"/>
        <v/>
      </c>
      <c r="J528" s="23" t="str">
        <f t="shared" si="50"/>
        <v/>
      </c>
      <c r="K528" s="18" t="str">
        <f t="shared" si="51"/>
        <v/>
      </c>
      <c r="L528" s="16" t="str">
        <f t="shared" ca="1" si="52"/>
        <v/>
      </c>
      <c r="M528" s="25" t="str">
        <f>IF(H528="","",IF(I528&lt;=0,"Shipped",IF(L528&lt;=AGE30,"Fresh",IF(L528&lt;=AGE60,"Watch",IF(L528&lt;=AGE90,"Aging","Old")))))</f>
        <v/>
      </c>
      <c r="N528" s="16" t="str">
        <f t="shared" si="53"/>
        <v/>
      </c>
    </row>
    <row r="529" spans="1:14" x14ac:dyDescent="0.2">
      <c r="A529" s="32"/>
      <c r="B529" s="27"/>
      <c r="C529" s="15" t="str">
        <f>IF(B529="","",IFERROR(INDEX(Items!$B$5:$B$19,MATCH(B529,Items!$A$5:$A$19,0)),"Unknown code"))</f>
        <v/>
      </c>
      <c r="D529" s="29"/>
      <c r="E529" s="18" t="str">
        <f>IF(B529="","",IFERROR(INDEX(Items!$C$5:$C$19,MATCH(B529,Items!$A$5:$A$19,0)),""))</f>
        <v/>
      </c>
      <c r="F529" s="18" t="str">
        <f t="shared" si="48"/>
        <v/>
      </c>
      <c r="G529" s="27"/>
      <c r="H529" s="23" t="str">
        <f>IF(OR(A529="",B529="",D529=""),"",IFERROR(INDEX(Items!$D$5:$D$19,MATCH(B529,Items!$A$5:$A$19,0))+SUMIFS(D$4:D528,B$4:B528,B529),""))</f>
        <v/>
      </c>
      <c r="I529" s="23" t="str">
        <f t="shared" si="49"/>
        <v/>
      </c>
      <c r="J529" s="23" t="str">
        <f t="shared" si="50"/>
        <v/>
      </c>
      <c r="K529" s="18" t="str">
        <f t="shared" si="51"/>
        <v/>
      </c>
      <c r="L529" s="16" t="str">
        <f t="shared" ca="1" si="52"/>
        <v/>
      </c>
      <c r="M529" s="25" t="str">
        <f>IF(H529="","",IF(I529&lt;=0,"Shipped",IF(L529&lt;=AGE30,"Fresh",IF(L529&lt;=AGE60,"Watch",IF(L529&lt;=AGE90,"Aging","Old")))))</f>
        <v/>
      </c>
      <c r="N529" s="16" t="str">
        <f t="shared" si="53"/>
        <v/>
      </c>
    </row>
    <row r="530" spans="1:14" x14ac:dyDescent="0.2">
      <c r="A530" s="32"/>
      <c r="B530" s="27"/>
      <c r="C530" s="15" t="str">
        <f>IF(B530="","",IFERROR(INDEX(Items!$B$5:$B$19,MATCH(B530,Items!$A$5:$A$19,0)),"Unknown code"))</f>
        <v/>
      </c>
      <c r="D530" s="29"/>
      <c r="E530" s="18" t="str">
        <f>IF(B530="","",IFERROR(INDEX(Items!$C$5:$C$19,MATCH(B530,Items!$A$5:$A$19,0)),""))</f>
        <v/>
      </c>
      <c r="F530" s="18" t="str">
        <f t="shared" si="48"/>
        <v/>
      </c>
      <c r="G530" s="27"/>
      <c r="H530" s="23" t="str">
        <f>IF(OR(A530="",B530="",D530=""),"",IFERROR(INDEX(Items!$D$5:$D$19,MATCH(B530,Items!$A$5:$A$19,0))+SUMIFS(D$4:D529,B$4:B529,B530),""))</f>
        <v/>
      </c>
      <c r="I530" s="23" t="str">
        <f t="shared" si="49"/>
        <v/>
      </c>
      <c r="J530" s="23" t="str">
        <f t="shared" si="50"/>
        <v/>
      </c>
      <c r="K530" s="18" t="str">
        <f t="shared" si="51"/>
        <v/>
      </c>
      <c r="L530" s="16" t="str">
        <f t="shared" ca="1" si="52"/>
        <v/>
      </c>
      <c r="M530" s="25" t="str">
        <f>IF(H530="","",IF(I530&lt;=0,"Shipped",IF(L530&lt;=AGE30,"Fresh",IF(L530&lt;=AGE60,"Watch",IF(L530&lt;=AGE90,"Aging","Old")))))</f>
        <v/>
      </c>
      <c r="N530" s="16" t="str">
        <f t="shared" si="53"/>
        <v/>
      </c>
    </row>
    <row r="531" spans="1:14" x14ac:dyDescent="0.2">
      <c r="A531" s="32"/>
      <c r="B531" s="27"/>
      <c r="C531" s="15" t="str">
        <f>IF(B531="","",IFERROR(INDEX(Items!$B$5:$B$19,MATCH(B531,Items!$A$5:$A$19,0)),"Unknown code"))</f>
        <v/>
      </c>
      <c r="D531" s="29"/>
      <c r="E531" s="18" t="str">
        <f>IF(B531="","",IFERROR(INDEX(Items!$C$5:$C$19,MATCH(B531,Items!$A$5:$A$19,0)),""))</f>
        <v/>
      </c>
      <c r="F531" s="18" t="str">
        <f t="shared" si="48"/>
        <v/>
      </c>
      <c r="G531" s="27"/>
      <c r="H531" s="23" t="str">
        <f>IF(OR(A531="",B531="",D531=""),"",IFERROR(INDEX(Items!$D$5:$D$19,MATCH(B531,Items!$A$5:$A$19,0))+SUMIFS(D$4:D530,B$4:B530,B531),""))</f>
        <v/>
      </c>
      <c r="I531" s="23" t="str">
        <f t="shared" si="49"/>
        <v/>
      </c>
      <c r="J531" s="23" t="str">
        <f t="shared" si="50"/>
        <v/>
      </c>
      <c r="K531" s="18" t="str">
        <f t="shared" si="51"/>
        <v/>
      </c>
      <c r="L531" s="16" t="str">
        <f t="shared" ca="1" si="52"/>
        <v/>
      </c>
      <c r="M531" s="25" t="str">
        <f>IF(H531="","",IF(I531&lt;=0,"Shipped",IF(L531&lt;=AGE30,"Fresh",IF(L531&lt;=AGE60,"Watch",IF(L531&lt;=AGE90,"Aging","Old")))))</f>
        <v/>
      </c>
      <c r="N531" s="16" t="str">
        <f t="shared" si="53"/>
        <v/>
      </c>
    </row>
    <row r="532" spans="1:14" x14ac:dyDescent="0.2">
      <c r="A532" s="32"/>
      <c r="B532" s="27"/>
      <c r="C532" s="15" t="str">
        <f>IF(B532="","",IFERROR(INDEX(Items!$B$5:$B$19,MATCH(B532,Items!$A$5:$A$19,0)),"Unknown code"))</f>
        <v/>
      </c>
      <c r="D532" s="29"/>
      <c r="E532" s="18" t="str">
        <f>IF(B532="","",IFERROR(INDEX(Items!$C$5:$C$19,MATCH(B532,Items!$A$5:$A$19,0)),""))</f>
        <v/>
      </c>
      <c r="F532" s="18" t="str">
        <f t="shared" si="48"/>
        <v/>
      </c>
      <c r="G532" s="27"/>
      <c r="H532" s="23" t="str">
        <f>IF(OR(A532="",B532="",D532=""),"",IFERROR(INDEX(Items!$D$5:$D$19,MATCH(B532,Items!$A$5:$A$19,0))+SUMIFS(D$4:D531,B$4:B531,B532),""))</f>
        <v/>
      </c>
      <c r="I532" s="23" t="str">
        <f t="shared" si="49"/>
        <v/>
      </c>
      <c r="J532" s="23" t="str">
        <f t="shared" si="50"/>
        <v/>
      </c>
      <c r="K532" s="18" t="str">
        <f t="shared" si="51"/>
        <v/>
      </c>
      <c r="L532" s="16" t="str">
        <f t="shared" ca="1" si="52"/>
        <v/>
      </c>
      <c r="M532" s="25" t="str">
        <f>IF(H532="","",IF(I532&lt;=0,"Shipped",IF(L532&lt;=AGE30,"Fresh",IF(L532&lt;=AGE60,"Watch",IF(L532&lt;=AGE90,"Aging","Old")))))</f>
        <v/>
      </c>
      <c r="N532" s="16" t="str">
        <f t="shared" si="53"/>
        <v/>
      </c>
    </row>
    <row r="533" spans="1:14" x14ac:dyDescent="0.2">
      <c r="A533" s="32"/>
      <c r="B533" s="27"/>
      <c r="C533" s="15" t="str">
        <f>IF(B533="","",IFERROR(INDEX(Items!$B$5:$B$19,MATCH(B533,Items!$A$5:$A$19,0)),"Unknown code"))</f>
        <v/>
      </c>
      <c r="D533" s="29"/>
      <c r="E533" s="18" t="str">
        <f>IF(B533="","",IFERROR(INDEX(Items!$C$5:$C$19,MATCH(B533,Items!$A$5:$A$19,0)),""))</f>
        <v/>
      </c>
      <c r="F533" s="18" t="str">
        <f t="shared" si="48"/>
        <v/>
      </c>
      <c r="G533" s="27"/>
      <c r="H533" s="23" t="str">
        <f>IF(OR(A533="",B533="",D533=""),"",IFERROR(INDEX(Items!$D$5:$D$19,MATCH(B533,Items!$A$5:$A$19,0))+SUMIFS(D$4:D532,B$4:B532,B533),""))</f>
        <v/>
      </c>
      <c r="I533" s="23" t="str">
        <f t="shared" si="49"/>
        <v/>
      </c>
      <c r="J533" s="23" t="str">
        <f t="shared" si="50"/>
        <v/>
      </c>
      <c r="K533" s="18" t="str">
        <f t="shared" si="51"/>
        <v/>
      </c>
      <c r="L533" s="16" t="str">
        <f t="shared" ca="1" si="52"/>
        <v/>
      </c>
      <c r="M533" s="25" t="str">
        <f>IF(H533="","",IF(I533&lt;=0,"Shipped",IF(L533&lt;=AGE30,"Fresh",IF(L533&lt;=AGE60,"Watch",IF(L533&lt;=AGE90,"Aging","Old")))))</f>
        <v/>
      </c>
      <c r="N533" s="16" t="str">
        <f t="shared" si="53"/>
        <v/>
      </c>
    </row>
    <row r="534" spans="1:14" x14ac:dyDescent="0.2">
      <c r="A534" s="32"/>
      <c r="B534" s="27"/>
      <c r="C534" s="15" t="str">
        <f>IF(B534="","",IFERROR(INDEX(Items!$B$5:$B$19,MATCH(B534,Items!$A$5:$A$19,0)),"Unknown code"))</f>
        <v/>
      </c>
      <c r="D534" s="29"/>
      <c r="E534" s="18" t="str">
        <f>IF(B534="","",IFERROR(INDEX(Items!$C$5:$C$19,MATCH(B534,Items!$A$5:$A$19,0)),""))</f>
        <v/>
      </c>
      <c r="F534" s="18" t="str">
        <f t="shared" si="48"/>
        <v/>
      </c>
      <c r="G534" s="27"/>
      <c r="H534" s="23" t="str">
        <f>IF(OR(A534="",B534="",D534=""),"",IFERROR(INDEX(Items!$D$5:$D$19,MATCH(B534,Items!$A$5:$A$19,0))+SUMIFS(D$4:D533,B$4:B533,B534),""))</f>
        <v/>
      </c>
      <c r="I534" s="23" t="str">
        <f t="shared" si="49"/>
        <v/>
      </c>
      <c r="J534" s="23" t="str">
        <f t="shared" si="50"/>
        <v/>
      </c>
      <c r="K534" s="18" t="str">
        <f t="shared" si="51"/>
        <v/>
      </c>
      <c r="L534" s="16" t="str">
        <f t="shared" ca="1" si="52"/>
        <v/>
      </c>
      <c r="M534" s="25" t="str">
        <f>IF(H534="","",IF(I534&lt;=0,"Shipped",IF(L534&lt;=AGE30,"Fresh",IF(L534&lt;=AGE60,"Watch",IF(L534&lt;=AGE90,"Aging","Old")))))</f>
        <v/>
      </c>
      <c r="N534" s="16" t="str">
        <f t="shared" si="53"/>
        <v/>
      </c>
    </row>
    <row r="535" spans="1:14" x14ac:dyDescent="0.2">
      <c r="A535" s="32"/>
      <c r="B535" s="27"/>
      <c r="C535" s="15" t="str">
        <f>IF(B535="","",IFERROR(INDEX(Items!$B$5:$B$19,MATCH(B535,Items!$A$5:$A$19,0)),"Unknown code"))</f>
        <v/>
      </c>
      <c r="D535" s="29"/>
      <c r="E535" s="18" t="str">
        <f>IF(B535="","",IFERROR(INDEX(Items!$C$5:$C$19,MATCH(B535,Items!$A$5:$A$19,0)),""))</f>
        <v/>
      </c>
      <c r="F535" s="18" t="str">
        <f t="shared" si="48"/>
        <v/>
      </c>
      <c r="G535" s="27"/>
      <c r="H535" s="23" t="str">
        <f>IF(OR(A535="",B535="",D535=""),"",IFERROR(INDEX(Items!$D$5:$D$19,MATCH(B535,Items!$A$5:$A$19,0))+SUMIFS(D$4:D534,B$4:B534,B535),""))</f>
        <v/>
      </c>
      <c r="I535" s="23" t="str">
        <f t="shared" si="49"/>
        <v/>
      </c>
      <c r="J535" s="23" t="str">
        <f t="shared" si="50"/>
        <v/>
      </c>
      <c r="K535" s="18" t="str">
        <f t="shared" si="51"/>
        <v/>
      </c>
      <c r="L535" s="16" t="str">
        <f t="shared" ca="1" si="52"/>
        <v/>
      </c>
      <c r="M535" s="25" t="str">
        <f>IF(H535="","",IF(I535&lt;=0,"Shipped",IF(L535&lt;=AGE30,"Fresh",IF(L535&lt;=AGE60,"Watch",IF(L535&lt;=AGE90,"Aging","Old")))))</f>
        <v/>
      </c>
      <c r="N535" s="16" t="str">
        <f t="shared" si="53"/>
        <v/>
      </c>
    </row>
    <row r="536" spans="1:14" x14ac:dyDescent="0.2">
      <c r="A536" s="32"/>
      <c r="B536" s="27"/>
      <c r="C536" s="15" t="str">
        <f>IF(B536="","",IFERROR(INDEX(Items!$B$5:$B$19,MATCH(B536,Items!$A$5:$A$19,0)),"Unknown code"))</f>
        <v/>
      </c>
      <c r="D536" s="29"/>
      <c r="E536" s="18" t="str">
        <f>IF(B536="","",IFERROR(INDEX(Items!$C$5:$C$19,MATCH(B536,Items!$A$5:$A$19,0)),""))</f>
        <v/>
      </c>
      <c r="F536" s="18" t="str">
        <f t="shared" si="48"/>
        <v/>
      </c>
      <c r="G536" s="27"/>
      <c r="H536" s="23" t="str">
        <f>IF(OR(A536="",B536="",D536=""),"",IFERROR(INDEX(Items!$D$5:$D$19,MATCH(B536,Items!$A$5:$A$19,0))+SUMIFS(D$4:D535,B$4:B535,B536),""))</f>
        <v/>
      </c>
      <c r="I536" s="23" t="str">
        <f t="shared" si="49"/>
        <v/>
      </c>
      <c r="J536" s="23" t="str">
        <f t="shared" si="50"/>
        <v/>
      </c>
      <c r="K536" s="18" t="str">
        <f t="shared" si="51"/>
        <v/>
      </c>
      <c r="L536" s="16" t="str">
        <f t="shared" ca="1" si="52"/>
        <v/>
      </c>
      <c r="M536" s="25" t="str">
        <f>IF(H536="","",IF(I536&lt;=0,"Shipped",IF(L536&lt;=AGE30,"Fresh",IF(L536&lt;=AGE60,"Watch",IF(L536&lt;=AGE90,"Aging","Old")))))</f>
        <v/>
      </c>
      <c r="N536" s="16" t="str">
        <f t="shared" si="53"/>
        <v/>
      </c>
    </row>
    <row r="537" spans="1:14" x14ac:dyDescent="0.2">
      <c r="A537" s="32"/>
      <c r="B537" s="27"/>
      <c r="C537" s="15" t="str">
        <f>IF(B537="","",IFERROR(INDEX(Items!$B$5:$B$19,MATCH(B537,Items!$A$5:$A$19,0)),"Unknown code"))</f>
        <v/>
      </c>
      <c r="D537" s="29"/>
      <c r="E537" s="18" t="str">
        <f>IF(B537="","",IFERROR(INDEX(Items!$C$5:$C$19,MATCH(B537,Items!$A$5:$A$19,0)),""))</f>
        <v/>
      </c>
      <c r="F537" s="18" t="str">
        <f t="shared" si="48"/>
        <v/>
      </c>
      <c r="G537" s="27"/>
      <c r="H537" s="23" t="str">
        <f>IF(OR(A537="",B537="",D537=""),"",IFERROR(INDEX(Items!$D$5:$D$19,MATCH(B537,Items!$A$5:$A$19,0))+SUMIFS(D$4:D536,B$4:B536,B537),""))</f>
        <v/>
      </c>
      <c r="I537" s="23" t="str">
        <f t="shared" si="49"/>
        <v/>
      </c>
      <c r="J537" s="23" t="str">
        <f t="shared" si="50"/>
        <v/>
      </c>
      <c r="K537" s="18" t="str">
        <f t="shared" si="51"/>
        <v/>
      </c>
      <c r="L537" s="16" t="str">
        <f t="shared" ca="1" si="52"/>
        <v/>
      </c>
      <c r="M537" s="25" t="str">
        <f>IF(H537="","",IF(I537&lt;=0,"Shipped",IF(L537&lt;=AGE30,"Fresh",IF(L537&lt;=AGE60,"Watch",IF(L537&lt;=AGE90,"Aging","Old")))))</f>
        <v/>
      </c>
      <c r="N537" s="16" t="str">
        <f t="shared" si="53"/>
        <v/>
      </c>
    </row>
    <row r="538" spans="1:14" x14ac:dyDescent="0.2">
      <c r="A538" s="32"/>
      <c r="B538" s="27"/>
      <c r="C538" s="15" t="str">
        <f>IF(B538="","",IFERROR(INDEX(Items!$B$5:$B$19,MATCH(B538,Items!$A$5:$A$19,0)),"Unknown code"))</f>
        <v/>
      </c>
      <c r="D538" s="29"/>
      <c r="E538" s="18" t="str">
        <f>IF(B538="","",IFERROR(INDEX(Items!$C$5:$C$19,MATCH(B538,Items!$A$5:$A$19,0)),""))</f>
        <v/>
      </c>
      <c r="F538" s="18" t="str">
        <f t="shared" si="48"/>
        <v/>
      </c>
      <c r="G538" s="27"/>
      <c r="H538" s="23" t="str">
        <f>IF(OR(A538="",B538="",D538=""),"",IFERROR(INDEX(Items!$D$5:$D$19,MATCH(B538,Items!$A$5:$A$19,0))+SUMIFS(D$4:D537,B$4:B537,B538),""))</f>
        <v/>
      </c>
      <c r="I538" s="23" t="str">
        <f t="shared" si="49"/>
        <v/>
      </c>
      <c r="J538" s="23" t="str">
        <f t="shared" si="50"/>
        <v/>
      </c>
      <c r="K538" s="18" t="str">
        <f t="shared" si="51"/>
        <v/>
      </c>
      <c r="L538" s="16" t="str">
        <f t="shared" ca="1" si="52"/>
        <v/>
      </c>
      <c r="M538" s="25" t="str">
        <f>IF(H538="","",IF(I538&lt;=0,"Shipped",IF(L538&lt;=AGE30,"Fresh",IF(L538&lt;=AGE60,"Watch",IF(L538&lt;=AGE90,"Aging","Old")))))</f>
        <v/>
      </c>
      <c r="N538" s="16" t="str">
        <f t="shared" si="53"/>
        <v/>
      </c>
    </row>
    <row r="539" spans="1:14" x14ac:dyDescent="0.2">
      <c r="A539" s="32"/>
      <c r="B539" s="27"/>
      <c r="C539" s="15" t="str">
        <f>IF(B539="","",IFERROR(INDEX(Items!$B$5:$B$19,MATCH(B539,Items!$A$5:$A$19,0)),"Unknown code"))</f>
        <v/>
      </c>
      <c r="D539" s="29"/>
      <c r="E539" s="18" t="str">
        <f>IF(B539="","",IFERROR(INDEX(Items!$C$5:$C$19,MATCH(B539,Items!$A$5:$A$19,0)),""))</f>
        <v/>
      </c>
      <c r="F539" s="18" t="str">
        <f t="shared" si="48"/>
        <v/>
      </c>
      <c r="G539" s="27"/>
      <c r="H539" s="23" t="str">
        <f>IF(OR(A539="",B539="",D539=""),"",IFERROR(INDEX(Items!$D$5:$D$19,MATCH(B539,Items!$A$5:$A$19,0))+SUMIFS(D$4:D538,B$4:B538,B539),""))</f>
        <v/>
      </c>
      <c r="I539" s="23" t="str">
        <f t="shared" si="49"/>
        <v/>
      </c>
      <c r="J539" s="23" t="str">
        <f t="shared" si="50"/>
        <v/>
      </c>
      <c r="K539" s="18" t="str">
        <f t="shared" si="51"/>
        <v/>
      </c>
      <c r="L539" s="16" t="str">
        <f t="shared" ca="1" si="52"/>
        <v/>
      </c>
      <c r="M539" s="25" t="str">
        <f>IF(H539="","",IF(I539&lt;=0,"Shipped",IF(L539&lt;=AGE30,"Fresh",IF(L539&lt;=AGE60,"Watch",IF(L539&lt;=AGE90,"Aging","Old")))))</f>
        <v/>
      </c>
      <c r="N539" s="16" t="str">
        <f t="shared" si="53"/>
        <v/>
      </c>
    </row>
    <row r="540" spans="1:14" x14ac:dyDescent="0.2">
      <c r="A540" s="32"/>
      <c r="B540" s="27"/>
      <c r="C540" s="15" t="str">
        <f>IF(B540="","",IFERROR(INDEX(Items!$B$5:$B$19,MATCH(B540,Items!$A$5:$A$19,0)),"Unknown code"))</f>
        <v/>
      </c>
      <c r="D540" s="29"/>
      <c r="E540" s="18" t="str">
        <f>IF(B540="","",IFERROR(INDEX(Items!$C$5:$C$19,MATCH(B540,Items!$A$5:$A$19,0)),""))</f>
        <v/>
      </c>
      <c r="F540" s="18" t="str">
        <f t="shared" si="48"/>
        <v/>
      </c>
      <c r="G540" s="27"/>
      <c r="H540" s="23" t="str">
        <f>IF(OR(A540="",B540="",D540=""),"",IFERROR(INDEX(Items!$D$5:$D$19,MATCH(B540,Items!$A$5:$A$19,0))+SUMIFS(D$4:D539,B$4:B539,B540),""))</f>
        <v/>
      </c>
      <c r="I540" s="23" t="str">
        <f t="shared" si="49"/>
        <v/>
      </c>
      <c r="J540" s="23" t="str">
        <f t="shared" si="50"/>
        <v/>
      </c>
      <c r="K540" s="18" t="str">
        <f t="shared" si="51"/>
        <v/>
      </c>
      <c r="L540" s="16" t="str">
        <f t="shared" ca="1" si="52"/>
        <v/>
      </c>
      <c r="M540" s="25" t="str">
        <f>IF(H540="","",IF(I540&lt;=0,"Shipped",IF(L540&lt;=AGE30,"Fresh",IF(L540&lt;=AGE60,"Watch",IF(L540&lt;=AGE90,"Aging","Old")))))</f>
        <v/>
      </c>
      <c r="N540" s="16" t="str">
        <f t="shared" si="53"/>
        <v/>
      </c>
    </row>
    <row r="541" spans="1:14" x14ac:dyDescent="0.2">
      <c r="A541" s="32"/>
      <c r="B541" s="27"/>
      <c r="C541" s="15" t="str">
        <f>IF(B541="","",IFERROR(INDEX(Items!$B$5:$B$19,MATCH(B541,Items!$A$5:$A$19,0)),"Unknown code"))</f>
        <v/>
      </c>
      <c r="D541" s="29"/>
      <c r="E541" s="18" t="str">
        <f>IF(B541="","",IFERROR(INDEX(Items!$C$5:$C$19,MATCH(B541,Items!$A$5:$A$19,0)),""))</f>
        <v/>
      </c>
      <c r="F541" s="18" t="str">
        <f t="shared" si="48"/>
        <v/>
      </c>
      <c r="G541" s="27"/>
      <c r="H541" s="23" t="str">
        <f>IF(OR(A541="",B541="",D541=""),"",IFERROR(INDEX(Items!$D$5:$D$19,MATCH(B541,Items!$A$5:$A$19,0))+SUMIFS(D$4:D540,B$4:B540,B541),""))</f>
        <v/>
      </c>
      <c r="I541" s="23" t="str">
        <f t="shared" si="49"/>
        <v/>
      </c>
      <c r="J541" s="23" t="str">
        <f t="shared" si="50"/>
        <v/>
      </c>
      <c r="K541" s="18" t="str">
        <f t="shared" si="51"/>
        <v/>
      </c>
      <c r="L541" s="16" t="str">
        <f t="shared" ca="1" si="52"/>
        <v/>
      </c>
      <c r="M541" s="25" t="str">
        <f>IF(H541="","",IF(I541&lt;=0,"Shipped",IF(L541&lt;=AGE30,"Fresh",IF(L541&lt;=AGE60,"Watch",IF(L541&lt;=AGE90,"Aging","Old")))))</f>
        <v/>
      </c>
      <c r="N541" s="16" t="str">
        <f t="shared" si="53"/>
        <v/>
      </c>
    </row>
    <row r="542" spans="1:14" x14ac:dyDescent="0.2">
      <c r="A542" s="32"/>
      <c r="B542" s="27"/>
      <c r="C542" s="15" t="str">
        <f>IF(B542="","",IFERROR(INDEX(Items!$B$5:$B$19,MATCH(B542,Items!$A$5:$A$19,0)),"Unknown code"))</f>
        <v/>
      </c>
      <c r="D542" s="29"/>
      <c r="E542" s="18" t="str">
        <f>IF(B542="","",IFERROR(INDEX(Items!$C$5:$C$19,MATCH(B542,Items!$A$5:$A$19,0)),""))</f>
        <v/>
      </c>
      <c r="F542" s="18" t="str">
        <f t="shared" si="48"/>
        <v/>
      </c>
      <c r="G542" s="27"/>
      <c r="H542" s="23" t="str">
        <f>IF(OR(A542="",B542="",D542=""),"",IFERROR(INDEX(Items!$D$5:$D$19,MATCH(B542,Items!$A$5:$A$19,0))+SUMIFS(D$4:D541,B$4:B541,B542),""))</f>
        <v/>
      </c>
      <c r="I542" s="23" t="str">
        <f t="shared" si="49"/>
        <v/>
      </c>
      <c r="J542" s="23" t="str">
        <f t="shared" si="50"/>
        <v/>
      </c>
      <c r="K542" s="18" t="str">
        <f t="shared" si="51"/>
        <v/>
      </c>
      <c r="L542" s="16" t="str">
        <f t="shared" ca="1" si="52"/>
        <v/>
      </c>
      <c r="M542" s="25" t="str">
        <f>IF(H542="","",IF(I542&lt;=0,"Shipped",IF(L542&lt;=AGE30,"Fresh",IF(L542&lt;=AGE60,"Watch",IF(L542&lt;=AGE90,"Aging","Old")))))</f>
        <v/>
      </c>
      <c r="N542" s="16" t="str">
        <f t="shared" si="53"/>
        <v/>
      </c>
    </row>
    <row r="543" spans="1:14" x14ac:dyDescent="0.2">
      <c r="A543" s="32"/>
      <c r="B543" s="27"/>
      <c r="C543" s="15" t="str">
        <f>IF(B543="","",IFERROR(INDEX(Items!$B$5:$B$19,MATCH(B543,Items!$A$5:$A$19,0)),"Unknown code"))</f>
        <v/>
      </c>
      <c r="D543" s="29"/>
      <c r="E543" s="18" t="str">
        <f>IF(B543="","",IFERROR(INDEX(Items!$C$5:$C$19,MATCH(B543,Items!$A$5:$A$19,0)),""))</f>
        <v/>
      </c>
      <c r="F543" s="18" t="str">
        <f t="shared" si="48"/>
        <v/>
      </c>
      <c r="G543" s="27"/>
      <c r="H543" s="23" t="str">
        <f>IF(OR(A543="",B543="",D543=""),"",IFERROR(INDEX(Items!$D$5:$D$19,MATCH(B543,Items!$A$5:$A$19,0))+SUMIFS(D$4:D542,B$4:B542,B543),""))</f>
        <v/>
      </c>
      <c r="I543" s="23" t="str">
        <f t="shared" si="49"/>
        <v/>
      </c>
      <c r="J543" s="23" t="str">
        <f t="shared" si="50"/>
        <v/>
      </c>
      <c r="K543" s="18" t="str">
        <f t="shared" si="51"/>
        <v/>
      </c>
      <c r="L543" s="16" t="str">
        <f t="shared" ca="1" si="52"/>
        <v/>
      </c>
      <c r="M543" s="25" t="str">
        <f>IF(H543="","",IF(I543&lt;=0,"Shipped",IF(L543&lt;=AGE30,"Fresh",IF(L543&lt;=AGE60,"Watch",IF(L543&lt;=AGE90,"Aging","Old")))))</f>
        <v/>
      </c>
      <c r="N543" s="16" t="str">
        <f t="shared" si="53"/>
        <v/>
      </c>
    </row>
    <row r="544" spans="1:14" x14ac:dyDescent="0.2">
      <c r="A544" s="32"/>
      <c r="B544" s="27"/>
      <c r="C544" s="15" t="str">
        <f>IF(B544="","",IFERROR(INDEX(Items!$B$5:$B$19,MATCH(B544,Items!$A$5:$A$19,0)),"Unknown code"))</f>
        <v/>
      </c>
      <c r="D544" s="29"/>
      <c r="E544" s="18" t="str">
        <f>IF(B544="","",IFERROR(INDEX(Items!$C$5:$C$19,MATCH(B544,Items!$A$5:$A$19,0)),""))</f>
        <v/>
      </c>
      <c r="F544" s="18" t="str">
        <f t="shared" si="48"/>
        <v/>
      </c>
      <c r="G544" s="27"/>
      <c r="H544" s="23" t="str">
        <f>IF(OR(A544="",B544="",D544=""),"",IFERROR(INDEX(Items!$D$5:$D$19,MATCH(B544,Items!$A$5:$A$19,0))+SUMIFS(D$4:D543,B$4:B543,B544),""))</f>
        <v/>
      </c>
      <c r="I544" s="23" t="str">
        <f t="shared" si="49"/>
        <v/>
      </c>
      <c r="J544" s="23" t="str">
        <f t="shared" si="50"/>
        <v/>
      </c>
      <c r="K544" s="18" t="str">
        <f t="shared" si="51"/>
        <v/>
      </c>
      <c r="L544" s="16" t="str">
        <f t="shared" ca="1" si="52"/>
        <v/>
      </c>
      <c r="M544" s="25" t="str">
        <f>IF(H544="","",IF(I544&lt;=0,"Shipped",IF(L544&lt;=AGE30,"Fresh",IF(L544&lt;=AGE60,"Watch",IF(L544&lt;=AGE90,"Aging","Old")))))</f>
        <v/>
      </c>
      <c r="N544" s="16" t="str">
        <f t="shared" si="53"/>
        <v/>
      </c>
    </row>
    <row r="545" spans="1:14" x14ac:dyDescent="0.2">
      <c r="A545" s="32"/>
      <c r="B545" s="27"/>
      <c r="C545" s="15" t="str">
        <f>IF(B545="","",IFERROR(INDEX(Items!$B$5:$B$19,MATCH(B545,Items!$A$5:$A$19,0)),"Unknown code"))</f>
        <v/>
      </c>
      <c r="D545" s="29"/>
      <c r="E545" s="18" t="str">
        <f>IF(B545="","",IFERROR(INDEX(Items!$C$5:$C$19,MATCH(B545,Items!$A$5:$A$19,0)),""))</f>
        <v/>
      </c>
      <c r="F545" s="18" t="str">
        <f t="shared" si="48"/>
        <v/>
      </c>
      <c r="G545" s="27"/>
      <c r="H545" s="23" t="str">
        <f>IF(OR(A545="",B545="",D545=""),"",IFERROR(INDEX(Items!$D$5:$D$19,MATCH(B545,Items!$A$5:$A$19,0))+SUMIFS(D$4:D544,B$4:B544,B545),""))</f>
        <v/>
      </c>
      <c r="I545" s="23" t="str">
        <f t="shared" si="49"/>
        <v/>
      </c>
      <c r="J545" s="23" t="str">
        <f t="shared" si="50"/>
        <v/>
      </c>
      <c r="K545" s="18" t="str">
        <f t="shared" si="51"/>
        <v/>
      </c>
      <c r="L545" s="16" t="str">
        <f t="shared" ca="1" si="52"/>
        <v/>
      </c>
      <c r="M545" s="25" t="str">
        <f>IF(H545="","",IF(I545&lt;=0,"Shipped",IF(L545&lt;=AGE30,"Fresh",IF(L545&lt;=AGE60,"Watch",IF(L545&lt;=AGE90,"Aging","Old")))))</f>
        <v/>
      </c>
      <c r="N545" s="16" t="str">
        <f t="shared" si="53"/>
        <v/>
      </c>
    </row>
    <row r="546" spans="1:14" x14ac:dyDescent="0.2">
      <c r="A546" s="32"/>
      <c r="B546" s="27"/>
      <c r="C546" s="15" t="str">
        <f>IF(B546="","",IFERROR(INDEX(Items!$B$5:$B$19,MATCH(B546,Items!$A$5:$A$19,0)),"Unknown code"))</f>
        <v/>
      </c>
      <c r="D546" s="29"/>
      <c r="E546" s="18" t="str">
        <f>IF(B546="","",IFERROR(INDEX(Items!$C$5:$C$19,MATCH(B546,Items!$A$5:$A$19,0)),""))</f>
        <v/>
      </c>
      <c r="F546" s="18" t="str">
        <f t="shared" si="48"/>
        <v/>
      </c>
      <c r="G546" s="27"/>
      <c r="H546" s="23" t="str">
        <f>IF(OR(A546="",B546="",D546=""),"",IFERROR(INDEX(Items!$D$5:$D$19,MATCH(B546,Items!$A$5:$A$19,0))+SUMIFS(D$4:D545,B$4:B545,B546),""))</f>
        <v/>
      </c>
      <c r="I546" s="23" t="str">
        <f t="shared" si="49"/>
        <v/>
      </c>
      <c r="J546" s="23" t="str">
        <f t="shared" si="50"/>
        <v/>
      </c>
      <c r="K546" s="18" t="str">
        <f t="shared" si="51"/>
        <v/>
      </c>
      <c r="L546" s="16" t="str">
        <f t="shared" ca="1" si="52"/>
        <v/>
      </c>
      <c r="M546" s="25" t="str">
        <f>IF(H546="","",IF(I546&lt;=0,"Shipped",IF(L546&lt;=AGE30,"Fresh",IF(L546&lt;=AGE60,"Watch",IF(L546&lt;=AGE90,"Aging","Old")))))</f>
        <v/>
      </c>
      <c r="N546" s="16" t="str">
        <f t="shared" si="53"/>
        <v/>
      </c>
    </row>
    <row r="547" spans="1:14" x14ac:dyDescent="0.2">
      <c r="A547" s="32"/>
      <c r="B547" s="27"/>
      <c r="C547" s="15" t="str">
        <f>IF(B547="","",IFERROR(INDEX(Items!$B$5:$B$19,MATCH(B547,Items!$A$5:$A$19,0)),"Unknown code"))</f>
        <v/>
      </c>
      <c r="D547" s="29"/>
      <c r="E547" s="18" t="str">
        <f>IF(B547="","",IFERROR(INDEX(Items!$C$5:$C$19,MATCH(B547,Items!$A$5:$A$19,0)),""))</f>
        <v/>
      </c>
      <c r="F547" s="18" t="str">
        <f t="shared" si="48"/>
        <v/>
      </c>
      <c r="G547" s="27"/>
      <c r="H547" s="23" t="str">
        <f>IF(OR(A547="",B547="",D547=""),"",IFERROR(INDEX(Items!$D$5:$D$19,MATCH(B547,Items!$A$5:$A$19,0))+SUMIFS(D$4:D546,B$4:B546,B547),""))</f>
        <v/>
      </c>
      <c r="I547" s="23" t="str">
        <f t="shared" si="49"/>
        <v/>
      </c>
      <c r="J547" s="23" t="str">
        <f t="shared" si="50"/>
        <v/>
      </c>
      <c r="K547" s="18" t="str">
        <f t="shared" si="51"/>
        <v/>
      </c>
      <c r="L547" s="16" t="str">
        <f t="shared" ca="1" si="52"/>
        <v/>
      </c>
      <c r="M547" s="25" t="str">
        <f>IF(H547="","",IF(I547&lt;=0,"Shipped",IF(L547&lt;=AGE30,"Fresh",IF(L547&lt;=AGE60,"Watch",IF(L547&lt;=AGE90,"Aging","Old")))))</f>
        <v/>
      </c>
      <c r="N547" s="16" t="str">
        <f t="shared" si="53"/>
        <v/>
      </c>
    </row>
    <row r="548" spans="1:14" x14ac:dyDescent="0.2">
      <c r="A548" s="32"/>
      <c r="B548" s="27"/>
      <c r="C548" s="15" t="str">
        <f>IF(B548="","",IFERROR(INDEX(Items!$B$5:$B$19,MATCH(B548,Items!$A$5:$A$19,0)),"Unknown code"))</f>
        <v/>
      </c>
      <c r="D548" s="29"/>
      <c r="E548" s="18" t="str">
        <f>IF(B548="","",IFERROR(INDEX(Items!$C$5:$C$19,MATCH(B548,Items!$A$5:$A$19,0)),""))</f>
        <v/>
      </c>
      <c r="F548" s="18" t="str">
        <f t="shared" si="48"/>
        <v/>
      </c>
      <c r="G548" s="27"/>
      <c r="H548" s="23" t="str">
        <f>IF(OR(A548="",B548="",D548=""),"",IFERROR(INDEX(Items!$D$5:$D$19,MATCH(B548,Items!$A$5:$A$19,0))+SUMIFS(D$4:D547,B$4:B547,B548),""))</f>
        <v/>
      </c>
      <c r="I548" s="23" t="str">
        <f t="shared" si="49"/>
        <v/>
      </c>
      <c r="J548" s="23" t="str">
        <f t="shared" si="50"/>
        <v/>
      </c>
      <c r="K548" s="18" t="str">
        <f t="shared" si="51"/>
        <v/>
      </c>
      <c r="L548" s="16" t="str">
        <f t="shared" ca="1" si="52"/>
        <v/>
      </c>
      <c r="M548" s="25" t="str">
        <f>IF(H548="","",IF(I548&lt;=0,"Shipped",IF(L548&lt;=AGE30,"Fresh",IF(L548&lt;=AGE60,"Watch",IF(L548&lt;=AGE90,"Aging","Old")))))</f>
        <v/>
      </c>
      <c r="N548" s="16" t="str">
        <f t="shared" si="53"/>
        <v/>
      </c>
    </row>
    <row r="549" spans="1:14" x14ac:dyDescent="0.2">
      <c r="A549" s="32"/>
      <c r="B549" s="27"/>
      <c r="C549" s="15" t="str">
        <f>IF(B549="","",IFERROR(INDEX(Items!$B$5:$B$19,MATCH(B549,Items!$A$5:$A$19,0)),"Unknown code"))</f>
        <v/>
      </c>
      <c r="D549" s="29"/>
      <c r="E549" s="18" t="str">
        <f>IF(B549="","",IFERROR(INDEX(Items!$C$5:$C$19,MATCH(B549,Items!$A$5:$A$19,0)),""))</f>
        <v/>
      </c>
      <c r="F549" s="18" t="str">
        <f t="shared" si="48"/>
        <v/>
      </c>
      <c r="G549" s="27"/>
      <c r="H549" s="23" t="str">
        <f>IF(OR(A549="",B549="",D549=""),"",IFERROR(INDEX(Items!$D$5:$D$19,MATCH(B549,Items!$A$5:$A$19,0))+SUMIFS(D$4:D548,B$4:B548,B549),""))</f>
        <v/>
      </c>
      <c r="I549" s="23" t="str">
        <f t="shared" si="49"/>
        <v/>
      </c>
      <c r="J549" s="23" t="str">
        <f t="shared" si="50"/>
        <v/>
      </c>
      <c r="K549" s="18" t="str">
        <f t="shared" si="51"/>
        <v/>
      </c>
      <c r="L549" s="16" t="str">
        <f t="shared" ca="1" si="52"/>
        <v/>
      </c>
      <c r="M549" s="25" t="str">
        <f>IF(H549="","",IF(I549&lt;=0,"Shipped",IF(L549&lt;=AGE30,"Fresh",IF(L549&lt;=AGE60,"Watch",IF(L549&lt;=AGE90,"Aging","Old")))))</f>
        <v/>
      </c>
      <c r="N549" s="16" t="str">
        <f t="shared" si="53"/>
        <v/>
      </c>
    </row>
    <row r="550" spans="1:14" x14ac:dyDescent="0.2">
      <c r="A550" s="32"/>
      <c r="B550" s="27"/>
      <c r="C550" s="15" t="str">
        <f>IF(B550="","",IFERROR(INDEX(Items!$B$5:$B$19,MATCH(B550,Items!$A$5:$A$19,0)),"Unknown code"))</f>
        <v/>
      </c>
      <c r="D550" s="29"/>
      <c r="E550" s="18" t="str">
        <f>IF(B550="","",IFERROR(INDEX(Items!$C$5:$C$19,MATCH(B550,Items!$A$5:$A$19,0)),""))</f>
        <v/>
      </c>
      <c r="F550" s="18" t="str">
        <f t="shared" si="48"/>
        <v/>
      </c>
      <c r="G550" s="27"/>
      <c r="H550" s="23" t="str">
        <f>IF(OR(A550="",B550="",D550=""),"",IFERROR(INDEX(Items!$D$5:$D$19,MATCH(B550,Items!$A$5:$A$19,0))+SUMIFS(D$4:D549,B$4:B549,B550),""))</f>
        <v/>
      </c>
      <c r="I550" s="23" t="str">
        <f t="shared" si="49"/>
        <v/>
      </c>
      <c r="J550" s="23" t="str">
        <f t="shared" si="50"/>
        <v/>
      </c>
      <c r="K550" s="18" t="str">
        <f t="shared" si="51"/>
        <v/>
      </c>
      <c r="L550" s="16" t="str">
        <f t="shared" ca="1" si="52"/>
        <v/>
      </c>
      <c r="M550" s="25" t="str">
        <f>IF(H550="","",IF(I550&lt;=0,"Shipped",IF(L550&lt;=AGE30,"Fresh",IF(L550&lt;=AGE60,"Watch",IF(L550&lt;=AGE90,"Aging","Old")))))</f>
        <v/>
      </c>
      <c r="N550" s="16" t="str">
        <f t="shared" si="53"/>
        <v/>
      </c>
    </row>
    <row r="551" spans="1:14" x14ac:dyDescent="0.2">
      <c r="A551" s="32"/>
      <c r="B551" s="27"/>
      <c r="C551" s="15" t="str">
        <f>IF(B551="","",IFERROR(INDEX(Items!$B$5:$B$19,MATCH(B551,Items!$A$5:$A$19,0)),"Unknown code"))</f>
        <v/>
      </c>
      <c r="D551" s="29"/>
      <c r="E551" s="18" t="str">
        <f>IF(B551="","",IFERROR(INDEX(Items!$C$5:$C$19,MATCH(B551,Items!$A$5:$A$19,0)),""))</f>
        <v/>
      </c>
      <c r="F551" s="18" t="str">
        <f t="shared" si="48"/>
        <v/>
      </c>
      <c r="G551" s="27"/>
      <c r="H551" s="23" t="str">
        <f>IF(OR(A551="",B551="",D551=""),"",IFERROR(INDEX(Items!$D$5:$D$19,MATCH(B551,Items!$A$5:$A$19,0))+SUMIFS(D$4:D550,B$4:B550,B551),""))</f>
        <v/>
      </c>
      <c r="I551" s="23" t="str">
        <f t="shared" si="49"/>
        <v/>
      </c>
      <c r="J551" s="23" t="str">
        <f t="shared" si="50"/>
        <v/>
      </c>
      <c r="K551" s="18" t="str">
        <f t="shared" si="51"/>
        <v/>
      </c>
      <c r="L551" s="16" t="str">
        <f t="shared" ca="1" si="52"/>
        <v/>
      </c>
      <c r="M551" s="25" t="str">
        <f>IF(H551="","",IF(I551&lt;=0,"Shipped",IF(L551&lt;=AGE30,"Fresh",IF(L551&lt;=AGE60,"Watch",IF(L551&lt;=AGE90,"Aging","Old")))))</f>
        <v/>
      </c>
      <c r="N551" s="16" t="str">
        <f t="shared" si="53"/>
        <v/>
      </c>
    </row>
    <row r="552" spans="1:14" x14ac:dyDescent="0.2">
      <c r="A552" s="32"/>
      <c r="B552" s="27"/>
      <c r="C552" s="15" t="str">
        <f>IF(B552="","",IFERROR(INDEX(Items!$B$5:$B$19,MATCH(B552,Items!$A$5:$A$19,0)),"Unknown code"))</f>
        <v/>
      </c>
      <c r="D552" s="29"/>
      <c r="E552" s="18" t="str">
        <f>IF(B552="","",IFERROR(INDEX(Items!$C$5:$C$19,MATCH(B552,Items!$A$5:$A$19,0)),""))</f>
        <v/>
      </c>
      <c r="F552" s="18" t="str">
        <f t="shared" si="48"/>
        <v/>
      </c>
      <c r="G552" s="27"/>
      <c r="H552" s="23" t="str">
        <f>IF(OR(A552="",B552="",D552=""),"",IFERROR(INDEX(Items!$D$5:$D$19,MATCH(B552,Items!$A$5:$A$19,0))+SUMIFS(D$4:D551,B$4:B551,B552),""))</f>
        <v/>
      </c>
      <c r="I552" s="23" t="str">
        <f t="shared" si="49"/>
        <v/>
      </c>
      <c r="J552" s="23" t="str">
        <f t="shared" si="50"/>
        <v/>
      </c>
      <c r="K552" s="18" t="str">
        <f t="shared" si="51"/>
        <v/>
      </c>
      <c r="L552" s="16" t="str">
        <f t="shared" ca="1" si="52"/>
        <v/>
      </c>
      <c r="M552" s="25" t="str">
        <f>IF(H552="","",IF(I552&lt;=0,"Shipped",IF(L552&lt;=AGE30,"Fresh",IF(L552&lt;=AGE60,"Watch",IF(L552&lt;=AGE90,"Aging","Old")))))</f>
        <v/>
      </c>
      <c r="N552" s="16" t="str">
        <f t="shared" si="53"/>
        <v/>
      </c>
    </row>
    <row r="553" spans="1:14" x14ac:dyDescent="0.2">
      <c r="A553" s="32"/>
      <c r="B553" s="27"/>
      <c r="C553" s="15" t="str">
        <f>IF(B553="","",IFERROR(INDEX(Items!$B$5:$B$19,MATCH(B553,Items!$A$5:$A$19,0)),"Unknown code"))</f>
        <v/>
      </c>
      <c r="D553" s="29"/>
      <c r="E553" s="18" t="str">
        <f>IF(B553="","",IFERROR(INDEX(Items!$C$5:$C$19,MATCH(B553,Items!$A$5:$A$19,0)),""))</f>
        <v/>
      </c>
      <c r="F553" s="18" t="str">
        <f t="shared" si="48"/>
        <v/>
      </c>
      <c r="G553" s="27"/>
      <c r="H553" s="23" t="str">
        <f>IF(OR(A553="",B553="",D553=""),"",IFERROR(INDEX(Items!$D$5:$D$19,MATCH(B553,Items!$A$5:$A$19,0))+SUMIFS(D$4:D552,B$4:B552,B553),""))</f>
        <v/>
      </c>
      <c r="I553" s="23" t="str">
        <f t="shared" si="49"/>
        <v/>
      </c>
      <c r="J553" s="23" t="str">
        <f t="shared" si="50"/>
        <v/>
      </c>
      <c r="K553" s="18" t="str">
        <f t="shared" si="51"/>
        <v/>
      </c>
      <c r="L553" s="16" t="str">
        <f t="shared" ca="1" si="52"/>
        <v/>
      </c>
      <c r="M553" s="25" t="str">
        <f>IF(H553="","",IF(I553&lt;=0,"Shipped",IF(L553&lt;=AGE30,"Fresh",IF(L553&lt;=AGE60,"Watch",IF(L553&lt;=AGE90,"Aging","Old")))))</f>
        <v/>
      </c>
      <c r="N553" s="16" t="str">
        <f t="shared" si="53"/>
        <v/>
      </c>
    </row>
    <row r="554" spans="1:14" x14ac:dyDescent="0.2">
      <c r="A554" s="32"/>
      <c r="B554" s="27"/>
      <c r="C554" s="15" t="str">
        <f>IF(B554="","",IFERROR(INDEX(Items!$B$5:$B$19,MATCH(B554,Items!$A$5:$A$19,0)),"Unknown code"))</f>
        <v/>
      </c>
      <c r="D554" s="29"/>
      <c r="E554" s="18" t="str">
        <f>IF(B554="","",IFERROR(INDEX(Items!$C$5:$C$19,MATCH(B554,Items!$A$5:$A$19,0)),""))</f>
        <v/>
      </c>
      <c r="F554" s="18" t="str">
        <f t="shared" si="48"/>
        <v/>
      </c>
      <c r="G554" s="27"/>
      <c r="H554" s="23" t="str">
        <f>IF(OR(A554="",B554="",D554=""),"",IFERROR(INDEX(Items!$D$5:$D$19,MATCH(B554,Items!$A$5:$A$19,0))+SUMIFS(D$4:D553,B$4:B553,B554),""))</f>
        <v/>
      </c>
      <c r="I554" s="23" t="str">
        <f t="shared" si="49"/>
        <v/>
      </c>
      <c r="J554" s="23" t="str">
        <f t="shared" si="50"/>
        <v/>
      </c>
      <c r="K554" s="18" t="str">
        <f t="shared" si="51"/>
        <v/>
      </c>
      <c r="L554" s="16" t="str">
        <f t="shared" ca="1" si="52"/>
        <v/>
      </c>
      <c r="M554" s="25" t="str">
        <f>IF(H554="","",IF(I554&lt;=0,"Shipped",IF(L554&lt;=AGE30,"Fresh",IF(L554&lt;=AGE60,"Watch",IF(L554&lt;=AGE90,"Aging","Old")))))</f>
        <v/>
      </c>
      <c r="N554" s="16" t="str">
        <f t="shared" si="53"/>
        <v/>
      </c>
    </row>
    <row r="555" spans="1:14" x14ac:dyDescent="0.2">
      <c r="A555" s="32"/>
      <c r="B555" s="27"/>
      <c r="C555" s="15" t="str">
        <f>IF(B555="","",IFERROR(INDEX(Items!$B$5:$B$19,MATCH(B555,Items!$A$5:$A$19,0)),"Unknown code"))</f>
        <v/>
      </c>
      <c r="D555" s="29"/>
      <c r="E555" s="18" t="str">
        <f>IF(B555="","",IFERROR(INDEX(Items!$C$5:$C$19,MATCH(B555,Items!$A$5:$A$19,0)),""))</f>
        <v/>
      </c>
      <c r="F555" s="18" t="str">
        <f t="shared" si="48"/>
        <v/>
      </c>
      <c r="G555" s="27"/>
      <c r="H555" s="23" t="str">
        <f>IF(OR(A555="",B555="",D555=""),"",IFERROR(INDEX(Items!$D$5:$D$19,MATCH(B555,Items!$A$5:$A$19,0))+SUMIFS(D$4:D554,B$4:B554,B555),""))</f>
        <v/>
      </c>
      <c r="I555" s="23" t="str">
        <f t="shared" si="49"/>
        <v/>
      </c>
      <c r="J555" s="23" t="str">
        <f t="shared" si="50"/>
        <v/>
      </c>
      <c r="K555" s="18" t="str">
        <f t="shared" si="51"/>
        <v/>
      </c>
      <c r="L555" s="16" t="str">
        <f t="shared" ca="1" si="52"/>
        <v/>
      </c>
      <c r="M555" s="25" t="str">
        <f>IF(H555="","",IF(I555&lt;=0,"Shipped",IF(L555&lt;=AGE30,"Fresh",IF(L555&lt;=AGE60,"Watch",IF(L555&lt;=AGE90,"Aging","Old")))))</f>
        <v/>
      </c>
      <c r="N555" s="16" t="str">
        <f t="shared" si="53"/>
        <v/>
      </c>
    </row>
    <row r="556" spans="1:14" x14ac:dyDescent="0.2">
      <c r="A556" s="32"/>
      <c r="B556" s="27"/>
      <c r="C556" s="15" t="str">
        <f>IF(B556="","",IFERROR(INDEX(Items!$B$5:$B$19,MATCH(B556,Items!$A$5:$A$19,0)),"Unknown code"))</f>
        <v/>
      </c>
      <c r="D556" s="29"/>
      <c r="E556" s="18" t="str">
        <f>IF(B556="","",IFERROR(INDEX(Items!$C$5:$C$19,MATCH(B556,Items!$A$5:$A$19,0)),""))</f>
        <v/>
      </c>
      <c r="F556" s="18" t="str">
        <f t="shared" si="48"/>
        <v/>
      </c>
      <c r="G556" s="27"/>
      <c r="H556" s="23" t="str">
        <f>IF(OR(A556="",B556="",D556=""),"",IFERROR(INDEX(Items!$D$5:$D$19,MATCH(B556,Items!$A$5:$A$19,0))+SUMIFS(D$4:D555,B$4:B555,B556),""))</f>
        <v/>
      </c>
      <c r="I556" s="23" t="str">
        <f t="shared" si="49"/>
        <v/>
      </c>
      <c r="J556" s="23" t="str">
        <f t="shared" si="50"/>
        <v/>
      </c>
      <c r="K556" s="18" t="str">
        <f t="shared" si="51"/>
        <v/>
      </c>
      <c r="L556" s="16" t="str">
        <f t="shared" ca="1" si="52"/>
        <v/>
      </c>
      <c r="M556" s="25" t="str">
        <f>IF(H556="","",IF(I556&lt;=0,"Shipped",IF(L556&lt;=AGE30,"Fresh",IF(L556&lt;=AGE60,"Watch",IF(L556&lt;=AGE90,"Aging","Old")))))</f>
        <v/>
      </c>
      <c r="N556" s="16" t="str">
        <f t="shared" si="53"/>
        <v/>
      </c>
    </row>
    <row r="557" spans="1:14" x14ac:dyDescent="0.2">
      <c r="A557" s="32"/>
      <c r="B557" s="27"/>
      <c r="C557" s="15" t="str">
        <f>IF(B557="","",IFERROR(INDEX(Items!$B$5:$B$19,MATCH(B557,Items!$A$5:$A$19,0)),"Unknown code"))</f>
        <v/>
      </c>
      <c r="D557" s="29"/>
      <c r="E557" s="18" t="str">
        <f>IF(B557="","",IFERROR(INDEX(Items!$C$5:$C$19,MATCH(B557,Items!$A$5:$A$19,0)),""))</f>
        <v/>
      </c>
      <c r="F557" s="18" t="str">
        <f t="shared" si="48"/>
        <v/>
      </c>
      <c r="G557" s="27"/>
      <c r="H557" s="23" t="str">
        <f>IF(OR(A557="",B557="",D557=""),"",IFERROR(INDEX(Items!$D$5:$D$19,MATCH(B557,Items!$A$5:$A$19,0))+SUMIFS(D$4:D556,B$4:B556,B557),""))</f>
        <v/>
      </c>
      <c r="I557" s="23" t="str">
        <f t="shared" si="49"/>
        <v/>
      </c>
      <c r="J557" s="23" t="str">
        <f t="shared" si="50"/>
        <v/>
      </c>
      <c r="K557" s="18" t="str">
        <f t="shared" si="51"/>
        <v/>
      </c>
      <c r="L557" s="16" t="str">
        <f t="shared" ca="1" si="52"/>
        <v/>
      </c>
      <c r="M557" s="25" t="str">
        <f>IF(H557="","",IF(I557&lt;=0,"Shipped",IF(L557&lt;=AGE30,"Fresh",IF(L557&lt;=AGE60,"Watch",IF(L557&lt;=AGE90,"Aging","Old")))))</f>
        <v/>
      </c>
      <c r="N557" s="16" t="str">
        <f t="shared" si="53"/>
        <v/>
      </c>
    </row>
    <row r="558" spans="1:14" x14ac:dyDescent="0.2">
      <c r="A558" s="32"/>
      <c r="B558" s="27"/>
      <c r="C558" s="15" t="str">
        <f>IF(B558="","",IFERROR(INDEX(Items!$B$5:$B$19,MATCH(B558,Items!$A$5:$A$19,0)),"Unknown code"))</f>
        <v/>
      </c>
      <c r="D558" s="29"/>
      <c r="E558" s="18" t="str">
        <f>IF(B558="","",IFERROR(INDEX(Items!$C$5:$C$19,MATCH(B558,Items!$A$5:$A$19,0)),""))</f>
        <v/>
      </c>
      <c r="F558" s="18" t="str">
        <f t="shared" si="48"/>
        <v/>
      </c>
      <c r="G558" s="27"/>
      <c r="H558" s="23" t="str">
        <f>IF(OR(A558="",B558="",D558=""),"",IFERROR(INDEX(Items!$D$5:$D$19,MATCH(B558,Items!$A$5:$A$19,0))+SUMIFS(D$4:D557,B$4:B557,B558),""))</f>
        <v/>
      </c>
      <c r="I558" s="23" t="str">
        <f t="shared" si="49"/>
        <v/>
      </c>
      <c r="J558" s="23" t="str">
        <f t="shared" si="50"/>
        <v/>
      </c>
      <c r="K558" s="18" t="str">
        <f t="shared" si="51"/>
        <v/>
      </c>
      <c r="L558" s="16" t="str">
        <f t="shared" ca="1" si="52"/>
        <v/>
      </c>
      <c r="M558" s="25" t="str">
        <f>IF(H558="","",IF(I558&lt;=0,"Shipped",IF(L558&lt;=AGE30,"Fresh",IF(L558&lt;=AGE60,"Watch",IF(L558&lt;=AGE90,"Aging","Old")))))</f>
        <v/>
      </c>
      <c r="N558" s="16" t="str">
        <f t="shared" si="53"/>
        <v/>
      </c>
    </row>
    <row r="559" spans="1:14" x14ac:dyDescent="0.2">
      <c r="A559" s="32"/>
      <c r="B559" s="27"/>
      <c r="C559" s="15" t="str">
        <f>IF(B559="","",IFERROR(INDEX(Items!$B$5:$B$19,MATCH(B559,Items!$A$5:$A$19,0)),"Unknown code"))</f>
        <v/>
      </c>
      <c r="D559" s="29"/>
      <c r="E559" s="18" t="str">
        <f>IF(B559="","",IFERROR(INDEX(Items!$C$5:$C$19,MATCH(B559,Items!$A$5:$A$19,0)),""))</f>
        <v/>
      </c>
      <c r="F559" s="18" t="str">
        <f t="shared" si="48"/>
        <v/>
      </c>
      <c r="G559" s="27"/>
      <c r="H559" s="23" t="str">
        <f>IF(OR(A559="",B559="",D559=""),"",IFERROR(INDEX(Items!$D$5:$D$19,MATCH(B559,Items!$A$5:$A$19,0))+SUMIFS(D$4:D558,B$4:B558,B559),""))</f>
        <v/>
      </c>
      <c r="I559" s="23" t="str">
        <f t="shared" si="49"/>
        <v/>
      </c>
      <c r="J559" s="23" t="str">
        <f t="shared" si="50"/>
        <v/>
      </c>
      <c r="K559" s="18" t="str">
        <f t="shared" si="51"/>
        <v/>
      </c>
      <c r="L559" s="16" t="str">
        <f t="shared" ca="1" si="52"/>
        <v/>
      </c>
      <c r="M559" s="25" t="str">
        <f>IF(H559="","",IF(I559&lt;=0,"Shipped",IF(L559&lt;=AGE30,"Fresh",IF(L559&lt;=AGE60,"Watch",IF(L559&lt;=AGE90,"Aging","Old")))))</f>
        <v/>
      </c>
      <c r="N559" s="16" t="str">
        <f t="shared" si="53"/>
        <v/>
      </c>
    </row>
    <row r="560" spans="1:14" x14ac:dyDescent="0.2">
      <c r="A560" s="32"/>
      <c r="B560" s="27"/>
      <c r="C560" s="15" t="str">
        <f>IF(B560="","",IFERROR(INDEX(Items!$B$5:$B$19,MATCH(B560,Items!$A$5:$A$19,0)),"Unknown code"))</f>
        <v/>
      </c>
      <c r="D560" s="29"/>
      <c r="E560" s="18" t="str">
        <f>IF(B560="","",IFERROR(INDEX(Items!$C$5:$C$19,MATCH(B560,Items!$A$5:$A$19,0)),""))</f>
        <v/>
      </c>
      <c r="F560" s="18" t="str">
        <f t="shared" si="48"/>
        <v/>
      </c>
      <c r="G560" s="27"/>
      <c r="H560" s="23" t="str">
        <f>IF(OR(A560="",B560="",D560=""),"",IFERROR(INDEX(Items!$D$5:$D$19,MATCH(B560,Items!$A$5:$A$19,0))+SUMIFS(D$4:D559,B$4:B559,B560),""))</f>
        <v/>
      </c>
      <c r="I560" s="23" t="str">
        <f t="shared" si="49"/>
        <v/>
      </c>
      <c r="J560" s="23" t="str">
        <f t="shared" si="50"/>
        <v/>
      </c>
      <c r="K560" s="18" t="str">
        <f t="shared" si="51"/>
        <v/>
      </c>
      <c r="L560" s="16" t="str">
        <f t="shared" ca="1" si="52"/>
        <v/>
      </c>
      <c r="M560" s="25" t="str">
        <f>IF(H560="","",IF(I560&lt;=0,"Shipped",IF(L560&lt;=AGE30,"Fresh",IF(L560&lt;=AGE60,"Watch",IF(L560&lt;=AGE90,"Aging","Old")))))</f>
        <v/>
      </c>
      <c r="N560" s="16" t="str">
        <f t="shared" si="53"/>
        <v/>
      </c>
    </row>
    <row r="561" spans="1:14" x14ac:dyDescent="0.2">
      <c r="A561" s="32"/>
      <c r="B561" s="27"/>
      <c r="C561" s="15" t="str">
        <f>IF(B561="","",IFERROR(INDEX(Items!$B$5:$B$19,MATCH(B561,Items!$A$5:$A$19,0)),"Unknown code"))</f>
        <v/>
      </c>
      <c r="D561" s="29"/>
      <c r="E561" s="18" t="str">
        <f>IF(B561="","",IFERROR(INDEX(Items!$C$5:$C$19,MATCH(B561,Items!$A$5:$A$19,0)),""))</f>
        <v/>
      </c>
      <c r="F561" s="18" t="str">
        <f t="shared" si="48"/>
        <v/>
      </c>
      <c r="G561" s="27"/>
      <c r="H561" s="23" t="str">
        <f>IF(OR(A561="",B561="",D561=""),"",IFERROR(INDEX(Items!$D$5:$D$19,MATCH(B561,Items!$A$5:$A$19,0))+SUMIFS(D$4:D560,B$4:B560,B561),""))</f>
        <v/>
      </c>
      <c r="I561" s="23" t="str">
        <f t="shared" si="49"/>
        <v/>
      </c>
      <c r="J561" s="23" t="str">
        <f t="shared" si="50"/>
        <v/>
      </c>
      <c r="K561" s="18" t="str">
        <f t="shared" si="51"/>
        <v/>
      </c>
      <c r="L561" s="16" t="str">
        <f t="shared" ca="1" si="52"/>
        <v/>
      </c>
      <c r="M561" s="25" t="str">
        <f>IF(H561="","",IF(I561&lt;=0,"Shipped",IF(L561&lt;=AGE30,"Fresh",IF(L561&lt;=AGE60,"Watch",IF(L561&lt;=AGE90,"Aging","Old")))))</f>
        <v/>
      </c>
      <c r="N561" s="16" t="str">
        <f t="shared" si="53"/>
        <v/>
      </c>
    </row>
    <row r="562" spans="1:14" x14ac:dyDescent="0.2">
      <c r="A562" s="32"/>
      <c r="B562" s="27"/>
      <c r="C562" s="15" t="str">
        <f>IF(B562="","",IFERROR(INDEX(Items!$B$5:$B$19,MATCH(B562,Items!$A$5:$A$19,0)),"Unknown code"))</f>
        <v/>
      </c>
      <c r="D562" s="29"/>
      <c r="E562" s="18" t="str">
        <f>IF(B562="","",IFERROR(INDEX(Items!$C$5:$C$19,MATCH(B562,Items!$A$5:$A$19,0)),""))</f>
        <v/>
      </c>
      <c r="F562" s="18" t="str">
        <f t="shared" si="48"/>
        <v/>
      </c>
      <c r="G562" s="27"/>
      <c r="H562" s="23" t="str">
        <f>IF(OR(A562="",B562="",D562=""),"",IFERROR(INDEX(Items!$D$5:$D$19,MATCH(B562,Items!$A$5:$A$19,0))+SUMIFS(D$4:D561,B$4:B561,B562),""))</f>
        <v/>
      </c>
      <c r="I562" s="23" t="str">
        <f t="shared" si="49"/>
        <v/>
      </c>
      <c r="J562" s="23" t="str">
        <f t="shared" si="50"/>
        <v/>
      </c>
      <c r="K562" s="18" t="str">
        <f t="shared" si="51"/>
        <v/>
      </c>
      <c r="L562" s="16" t="str">
        <f t="shared" ca="1" si="52"/>
        <v/>
      </c>
      <c r="M562" s="25" t="str">
        <f>IF(H562="","",IF(I562&lt;=0,"Shipped",IF(L562&lt;=AGE30,"Fresh",IF(L562&lt;=AGE60,"Watch",IF(L562&lt;=AGE90,"Aging","Old")))))</f>
        <v/>
      </c>
      <c r="N562" s="16" t="str">
        <f t="shared" si="53"/>
        <v/>
      </c>
    </row>
    <row r="563" spans="1:14" x14ac:dyDescent="0.2">
      <c r="A563" s="32"/>
      <c r="B563" s="27"/>
      <c r="C563" s="15" t="str">
        <f>IF(B563="","",IFERROR(INDEX(Items!$B$5:$B$19,MATCH(B563,Items!$A$5:$A$19,0)),"Unknown code"))</f>
        <v/>
      </c>
      <c r="D563" s="29"/>
      <c r="E563" s="18" t="str">
        <f>IF(B563="","",IFERROR(INDEX(Items!$C$5:$C$19,MATCH(B563,Items!$A$5:$A$19,0)),""))</f>
        <v/>
      </c>
      <c r="F563" s="18" t="str">
        <f t="shared" si="48"/>
        <v/>
      </c>
      <c r="G563" s="27"/>
      <c r="H563" s="23" t="str">
        <f>IF(OR(A563="",B563="",D563=""),"",IFERROR(INDEX(Items!$D$5:$D$19,MATCH(B563,Items!$A$5:$A$19,0))+SUMIFS(D$4:D562,B$4:B562,B563),""))</f>
        <v/>
      </c>
      <c r="I563" s="23" t="str">
        <f t="shared" si="49"/>
        <v/>
      </c>
      <c r="J563" s="23" t="str">
        <f t="shared" si="50"/>
        <v/>
      </c>
      <c r="K563" s="18" t="str">
        <f t="shared" si="51"/>
        <v/>
      </c>
      <c r="L563" s="16" t="str">
        <f t="shared" ca="1" si="52"/>
        <v/>
      </c>
      <c r="M563" s="25" t="str">
        <f>IF(H563="","",IF(I563&lt;=0,"Shipped",IF(L563&lt;=AGE30,"Fresh",IF(L563&lt;=AGE60,"Watch",IF(L563&lt;=AGE90,"Aging","Old")))))</f>
        <v/>
      </c>
      <c r="N563" s="16" t="str">
        <f t="shared" si="53"/>
        <v/>
      </c>
    </row>
    <row r="564" spans="1:14" x14ac:dyDescent="0.2">
      <c r="A564" s="32"/>
      <c r="B564" s="27"/>
      <c r="C564" s="15" t="str">
        <f>IF(B564="","",IFERROR(INDEX(Items!$B$5:$B$19,MATCH(B564,Items!$A$5:$A$19,0)),"Unknown code"))</f>
        <v/>
      </c>
      <c r="D564" s="29"/>
      <c r="E564" s="18" t="str">
        <f>IF(B564="","",IFERROR(INDEX(Items!$C$5:$C$19,MATCH(B564,Items!$A$5:$A$19,0)),""))</f>
        <v/>
      </c>
      <c r="F564" s="18" t="str">
        <f t="shared" si="48"/>
        <v/>
      </c>
      <c r="G564" s="27"/>
      <c r="H564" s="23" t="str">
        <f>IF(OR(A564="",B564="",D564=""),"",IFERROR(INDEX(Items!$D$5:$D$19,MATCH(B564,Items!$A$5:$A$19,0))+SUMIFS(D$4:D563,B$4:B563,B564),""))</f>
        <v/>
      </c>
      <c r="I564" s="23" t="str">
        <f t="shared" si="49"/>
        <v/>
      </c>
      <c r="J564" s="23" t="str">
        <f t="shared" si="50"/>
        <v/>
      </c>
      <c r="K564" s="18" t="str">
        <f t="shared" si="51"/>
        <v/>
      </c>
      <c r="L564" s="16" t="str">
        <f t="shared" ca="1" si="52"/>
        <v/>
      </c>
      <c r="M564" s="25" t="str">
        <f>IF(H564="","",IF(I564&lt;=0,"Shipped",IF(L564&lt;=AGE30,"Fresh",IF(L564&lt;=AGE60,"Watch",IF(L564&lt;=AGE90,"Aging","Old")))))</f>
        <v/>
      </c>
      <c r="N564" s="16" t="str">
        <f t="shared" si="53"/>
        <v/>
      </c>
    </row>
    <row r="565" spans="1:14" x14ac:dyDescent="0.2">
      <c r="A565" s="32"/>
      <c r="B565" s="27"/>
      <c r="C565" s="15" t="str">
        <f>IF(B565="","",IFERROR(INDEX(Items!$B$5:$B$19,MATCH(B565,Items!$A$5:$A$19,0)),"Unknown code"))</f>
        <v/>
      </c>
      <c r="D565" s="29"/>
      <c r="E565" s="18" t="str">
        <f>IF(B565="","",IFERROR(INDEX(Items!$C$5:$C$19,MATCH(B565,Items!$A$5:$A$19,0)),""))</f>
        <v/>
      </c>
      <c r="F565" s="18" t="str">
        <f t="shared" si="48"/>
        <v/>
      </c>
      <c r="G565" s="27"/>
      <c r="H565" s="23" t="str">
        <f>IF(OR(A565="",B565="",D565=""),"",IFERROR(INDEX(Items!$D$5:$D$19,MATCH(B565,Items!$A$5:$A$19,0))+SUMIFS(D$4:D564,B$4:B564,B565),""))</f>
        <v/>
      </c>
      <c r="I565" s="23" t="str">
        <f t="shared" si="49"/>
        <v/>
      </c>
      <c r="J565" s="23" t="str">
        <f t="shared" si="50"/>
        <v/>
      </c>
      <c r="K565" s="18" t="str">
        <f t="shared" si="51"/>
        <v/>
      </c>
      <c r="L565" s="16" t="str">
        <f t="shared" ca="1" si="52"/>
        <v/>
      </c>
      <c r="M565" s="25" t="str">
        <f>IF(H565="","",IF(I565&lt;=0,"Shipped",IF(L565&lt;=AGE30,"Fresh",IF(L565&lt;=AGE60,"Watch",IF(L565&lt;=AGE90,"Aging","Old")))))</f>
        <v/>
      </c>
      <c r="N565" s="16" t="str">
        <f t="shared" si="53"/>
        <v/>
      </c>
    </row>
    <row r="566" spans="1:14" x14ac:dyDescent="0.2">
      <c r="A566" s="32"/>
      <c r="B566" s="27"/>
      <c r="C566" s="15" t="str">
        <f>IF(B566="","",IFERROR(INDEX(Items!$B$5:$B$19,MATCH(B566,Items!$A$5:$A$19,0)),"Unknown code"))</f>
        <v/>
      </c>
      <c r="D566" s="29"/>
      <c r="E566" s="18" t="str">
        <f>IF(B566="","",IFERROR(INDEX(Items!$C$5:$C$19,MATCH(B566,Items!$A$5:$A$19,0)),""))</f>
        <v/>
      </c>
      <c r="F566" s="18" t="str">
        <f t="shared" si="48"/>
        <v/>
      </c>
      <c r="G566" s="27"/>
      <c r="H566" s="23" t="str">
        <f>IF(OR(A566="",B566="",D566=""),"",IFERROR(INDEX(Items!$D$5:$D$19,MATCH(B566,Items!$A$5:$A$19,0))+SUMIFS(D$4:D565,B$4:B565,B566),""))</f>
        <v/>
      </c>
      <c r="I566" s="23" t="str">
        <f t="shared" si="49"/>
        <v/>
      </c>
      <c r="J566" s="23" t="str">
        <f t="shared" si="50"/>
        <v/>
      </c>
      <c r="K566" s="18" t="str">
        <f t="shared" si="51"/>
        <v/>
      </c>
      <c r="L566" s="16" t="str">
        <f t="shared" ca="1" si="52"/>
        <v/>
      </c>
      <c r="M566" s="25" t="str">
        <f>IF(H566="","",IF(I566&lt;=0,"Shipped",IF(L566&lt;=AGE30,"Fresh",IF(L566&lt;=AGE60,"Watch",IF(L566&lt;=AGE90,"Aging","Old")))))</f>
        <v/>
      </c>
      <c r="N566" s="16" t="str">
        <f t="shared" si="53"/>
        <v/>
      </c>
    </row>
    <row r="567" spans="1:14" x14ac:dyDescent="0.2">
      <c r="A567" s="32"/>
      <c r="B567" s="27"/>
      <c r="C567" s="15" t="str">
        <f>IF(B567="","",IFERROR(INDEX(Items!$B$5:$B$19,MATCH(B567,Items!$A$5:$A$19,0)),"Unknown code"))</f>
        <v/>
      </c>
      <c r="D567" s="29"/>
      <c r="E567" s="18" t="str">
        <f>IF(B567="","",IFERROR(INDEX(Items!$C$5:$C$19,MATCH(B567,Items!$A$5:$A$19,0)),""))</f>
        <v/>
      </c>
      <c r="F567" s="18" t="str">
        <f t="shared" si="48"/>
        <v/>
      </c>
      <c r="G567" s="27"/>
      <c r="H567" s="23" t="str">
        <f>IF(OR(A567="",B567="",D567=""),"",IFERROR(INDEX(Items!$D$5:$D$19,MATCH(B567,Items!$A$5:$A$19,0))+SUMIFS(D$4:D566,B$4:B566,B567),""))</f>
        <v/>
      </c>
      <c r="I567" s="23" t="str">
        <f t="shared" si="49"/>
        <v/>
      </c>
      <c r="J567" s="23" t="str">
        <f t="shared" si="50"/>
        <v/>
      </c>
      <c r="K567" s="18" t="str">
        <f t="shared" si="51"/>
        <v/>
      </c>
      <c r="L567" s="16" t="str">
        <f t="shared" ca="1" si="52"/>
        <v/>
      </c>
      <c r="M567" s="25" t="str">
        <f>IF(H567="","",IF(I567&lt;=0,"Shipped",IF(L567&lt;=AGE30,"Fresh",IF(L567&lt;=AGE60,"Watch",IF(L567&lt;=AGE90,"Aging","Old")))))</f>
        <v/>
      </c>
      <c r="N567" s="16" t="str">
        <f t="shared" si="53"/>
        <v/>
      </c>
    </row>
    <row r="568" spans="1:14" x14ac:dyDescent="0.2">
      <c r="A568" s="32"/>
      <c r="B568" s="27"/>
      <c r="C568" s="15" t="str">
        <f>IF(B568="","",IFERROR(INDEX(Items!$B$5:$B$19,MATCH(B568,Items!$A$5:$A$19,0)),"Unknown code"))</f>
        <v/>
      </c>
      <c r="D568" s="29"/>
      <c r="E568" s="18" t="str">
        <f>IF(B568="","",IFERROR(INDEX(Items!$C$5:$C$19,MATCH(B568,Items!$A$5:$A$19,0)),""))</f>
        <v/>
      </c>
      <c r="F568" s="18" t="str">
        <f t="shared" si="48"/>
        <v/>
      </c>
      <c r="G568" s="27"/>
      <c r="H568" s="23" t="str">
        <f>IF(OR(A568="",B568="",D568=""),"",IFERROR(INDEX(Items!$D$5:$D$19,MATCH(B568,Items!$A$5:$A$19,0))+SUMIFS(D$4:D567,B$4:B567,B568),""))</f>
        <v/>
      </c>
      <c r="I568" s="23" t="str">
        <f t="shared" si="49"/>
        <v/>
      </c>
      <c r="J568" s="23" t="str">
        <f t="shared" si="50"/>
        <v/>
      </c>
      <c r="K568" s="18" t="str">
        <f t="shared" si="51"/>
        <v/>
      </c>
      <c r="L568" s="16" t="str">
        <f t="shared" ca="1" si="52"/>
        <v/>
      </c>
      <c r="M568" s="25" t="str">
        <f>IF(H568="","",IF(I568&lt;=0,"Shipped",IF(L568&lt;=AGE30,"Fresh",IF(L568&lt;=AGE60,"Watch",IF(L568&lt;=AGE90,"Aging","Old")))))</f>
        <v/>
      </c>
      <c r="N568" s="16" t="str">
        <f t="shared" si="53"/>
        <v/>
      </c>
    </row>
    <row r="569" spans="1:14" x14ac:dyDescent="0.2">
      <c r="A569" s="32"/>
      <c r="B569" s="27"/>
      <c r="C569" s="15" t="str">
        <f>IF(B569="","",IFERROR(INDEX(Items!$B$5:$B$19,MATCH(B569,Items!$A$5:$A$19,0)),"Unknown code"))</f>
        <v/>
      </c>
      <c r="D569" s="29"/>
      <c r="E569" s="18" t="str">
        <f>IF(B569="","",IFERROR(INDEX(Items!$C$5:$C$19,MATCH(B569,Items!$A$5:$A$19,0)),""))</f>
        <v/>
      </c>
      <c r="F569" s="18" t="str">
        <f t="shared" si="48"/>
        <v/>
      </c>
      <c r="G569" s="27"/>
      <c r="H569" s="23" t="str">
        <f>IF(OR(A569="",B569="",D569=""),"",IFERROR(INDEX(Items!$D$5:$D$19,MATCH(B569,Items!$A$5:$A$19,0))+SUMIFS(D$4:D568,B$4:B568,B569),""))</f>
        <v/>
      </c>
      <c r="I569" s="23" t="str">
        <f t="shared" si="49"/>
        <v/>
      </c>
      <c r="J569" s="23" t="str">
        <f t="shared" si="50"/>
        <v/>
      </c>
      <c r="K569" s="18" t="str">
        <f t="shared" si="51"/>
        <v/>
      </c>
      <c r="L569" s="16" t="str">
        <f t="shared" ca="1" si="52"/>
        <v/>
      </c>
      <c r="M569" s="25" t="str">
        <f>IF(H569="","",IF(I569&lt;=0,"Shipped",IF(L569&lt;=AGE30,"Fresh",IF(L569&lt;=AGE60,"Watch",IF(L569&lt;=AGE90,"Aging","Old")))))</f>
        <v/>
      </c>
      <c r="N569" s="16" t="str">
        <f t="shared" si="53"/>
        <v/>
      </c>
    </row>
    <row r="570" spans="1:14" x14ac:dyDescent="0.2">
      <c r="A570" s="32"/>
      <c r="B570" s="27"/>
      <c r="C570" s="15" t="str">
        <f>IF(B570="","",IFERROR(INDEX(Items!$B$5:$B$19,MATCH(B570,Items!$A$5:$A$19,0)),"Unknown code"))</f>
        <v/>
      </c>
      <c r="D570" s="29"/>
      <c r="E570" s="18" t="str">
        <f>IF(B570="","",IFERROR(INDEX(Items!$C$5:$C$19,MATCH(B570,Items!$A$5:$A$19,0)),""))</f>
        <v/>
      </c>
      <c r="F570" s="18" t="str">
        <f t="shared" si="48"/>
        <v/>
      </c>
      <c r="G570" s="27"/>
      <c r="H570" s="23" t="str">
        <f>IF(OR(A570="",B570="",D570=""),"",IFERROR(INDEX(Items!$D$5:$D$19,MATCH(B570,Items!$A$5:$A$19,0))+SUMIFS(D$4:D569,B$4:B569,B570),""))</f>
        <v/>
      </c>
      <c r="I570" s="23" t="str">
        <f t="shared" si="49"/>
        <v/>
      </c>
      <c r="J570" s="23" t="str">
        <f t="shared" si="50"/>
        <v/>
      </c>
      <c r="K570" s="18" t="str">
        <f t="shared" si="51"/>
        <v/>
      </c>
      <c r="L570" s="16" t="str">
        <f t="shared" ca="1" si="52"/>
        <v/>
      </c>
      <c r="M570" s="25" t="str">
        <f>IF(H570="","",IF(I570&lt;=0,"Shipped",IF(L570&lt;=AGE30,"Fresh",IF(L570&lt;=AGE60,"Watch",IF(L570&lt;=AGE90,"Aging","Old")))))</f>
        <v/>
      </c>
      <c r="N570" s="16" t="str">
        <f t="shared" si="53"/>
        <v/>
      </c>
    </row>
    <row r="571" spans="1:14" x14ac:dyDescent="0.2">
      <c r="A571" s="32"/>
      <c r="B571" s="27"/>
      <c r="C571" s="15" t="str">
        <f>IF(B571="","",IFERROR(INDEX(Items!$B$5:$B$19,MATCH(B571,Items!$A$5:$A$19,0)),"Unknown code"))</f>
        <v/>
      </c>
      <c r="D571" s="29"/>
      <c r="E571" s="18" t="str">
        <f>IF(B571="","",IFERROR(INDEX(Items!$C$5:$C$19,MATCH(B571,Items!$A$5:$A$19,0)),""))</f>
        <v/>
      </c>
      <c r="F571" s="18" t="str">
        <f t="shared" si="48"/>
        <v/>
      </c>
      <c r="G571" s="27"/>
      <c r="H571" s="23" t="str">
        <f>IF(OR(A571="",B571="",D571=""),"",IFERROR(INDEX(Items!$D$5:$D$19,MATCH(B571,Items!$A$5:$A$19,0))+SUMIFS(D$4:D570,B$4:B570,B571),""))</f>
        <v/>
      </c>
      <c r="I571" s="23" t="str">
        <f t="shared" si="49"/>
        <v/>
      </c>
      <c r="J571" s="23" t="str">
        <f t="shared" si="50"/>
        <v/>
      </c>
      <c r="K571" s="18" t="str">
        <f t="shared" si="51"/>
        <v/>
      </c>
      <c r="L571" s="16" t="str">
        <f t="shared" ca="1" si="52"/>
        <v/>
      </c>
      <c r="M571" s="25" t="str">
        <f>IF(H571="","",IF(I571&lt;=0,"Shipped",IF(L571&lt;=AGE30,"Fresh",IF(L571&lt;=AGE60,"Watch",IF(L571&lt;=AGE90,"Aging","Old")))))</f>
        <v/>
      </c>
      <c r="N571" s="16" t="str">
        <f t="shared" si="53"/>
        <v/>
      </c>
    </row>
    <row r="572" spans="1:14" x14ac:dyDescent="0.2">
      <c r="A572" s="32"/>
      <c r="B572" s="27"/>
      <c r="C572" s="15" t="str">
        <f>IF(B572="","",IFERROR(INDEX(Items!$B$5:$B$19,MATCH(B572,Items!$A$5:$A$19,0)),"Unknown code"))</f>
        <v/>
      </c>
      <c r="D572" s="29"/>
      <c r="E572" s="18" t="str">
        <f>IF(B572="","",IFERROR(INDEX(Items!$C$5:$C$19,MATCH(B572,Items!$A$5:$A$19,0)),""))</f>
        <v/>
      </c>
      <c r="F572" s="18" t="str">
        <f t="shared" si="48"/>
        <v/>
      </c>
      <c r="G572" s="27"/>
      <c r="H572" s="23" t="str">
        <f>IF(OR(A572="",B572="",D572=""),"",IFERROR(INDEX(Items!$D$5:$D$19,MATCH(B572,Items!$A$5:$A$19,0))+SUMIFS(D$4:D571,B$4:B571,B572),""))</f>
        <v/>
      </c>
      <c r="I572" s="23" t="str">
        <f t="shared" si="49"/>
        <v/>
      </c>
      <c r="J572" s="23" t="str">
        <f t="shared" si="50"/>
        <v/>
      </c>
      <c r="K572" s="18" t="str">
        <f t="shared" si="51"/>
        <v/>
      </c>
      <c r="L572" s="16" t="str">
        <f t="shared" ca="1" si="52"/>
        <v/>
      </c>
      <c r="M572" s="25" t="str">
        <f>IF(H572="","",IF(I572&lt;=0,"Shipped",IF(L572&lt;=AGE30,"Fresh",IF(L572&lt;=AGE60,"Watch",IF(L572&lt;=AGE90,"Aging","Old")))))</f>
        <v/>
      </c>
      <c r="N572" s="16" t="str">
        <f t="shared" si="53"/>
        <v/>
      </c>
    </row>
    <row r="573" spans="1:14" x14ac:dyDescent="0.2">
      <c r="A573" s="32"/>
      <c r="B573" s="27"/>
      <c r="C573" s="15" t="str">
        <f>IF(B573="","",IFERROR(INDEX(Items!$B$5:$B$19,MATCH(B573,Items!$A$5:$A$19,0)),"Unknown code"))</f>
        <v/>
      </c>
      <c r="D573" s="29"/>
      <c r="E573" s="18" t="str">
        <f>IF(B573="","",IFERROR(INDEX(Items!$C$5:$C$19,MATCH(B573,Items!$A$5:$A$19,0)),""))</f>
        <v/>
      </c>
      <c r="F573" s="18" t="str">
        <f t="shared" si="48"/>
        <v/>
      </c>
      <c r="G573" s="27"/>
      <c r="H573" s="23" t="str">
        <f>IF(OR(A573="",B573="",D573=""),"",IFERROR(INDEX(Items!$D$5:$D$19,MATCH(B573,Items!$A$5:$A$19,0))+SUMIFS(D$4:D572,B$4:B572,B573),""))</f>
        <v/>
      </c>
      <c r="I573" s="23" t="str">
        <f t="shared" si="49"/>
        <v/>
      </c>
      <c r="J573" s="23" t="str">
        <f t="shared" si="50"/>
        <v/>
      </c>
      <c r="K573" s="18" t="str">
        <f t="shared" si="51"/>
        <v/>
      </c>
      <c r="L573" s="16" t="str">
        <f t="shared" ca="1" si="52"/>
        <v/>
      </c>
      <c r="M573" s="25" t="str">
        <f>IF(H573="","",IF(I573&lt;=0,"Shipped",IF(L573&lt;=AGE30,"Fresh",IF(L573&lt;=AGE60,"Watch",IF(L573&lt;=AGE90,"Aging","Old")))))</f>
        <v/>
      </c>
      <c r="N573" s="16" t="str">
        <f t="shared" si="53"/>
        <v/>
      </c>
    </row>
    <row r="574" spans="1:14" x14ac:dyDescent="0.2">
      <c r="A574" s="32"/>
      <c r="B574" s="27"/>
      <c r="C574" s="15" t="str">
        <f>IF(B574="","",IFERROR(INDEX(Items!$B$5:$B$19,MATCH(B574,Items!$A$5:$A$19,0)),"Unknown code"))</f>
        <v/>
      </c>
      <c r="D574" s="29"/>
      <c r="E574" s="18" t="str">
        <f>IF(B574="","",IFERROR(INDEX(Items!$C$5:$C$19,MATCH(B574,Items!$A$5:$A$19,0)),""))</f>
        <v/>
      </c>
      <c r="F574" s="18" t="str">
        <f t="shared" si="48"/>
        <v/>
      </c>
      <c r="G574" s="27"/>
      <c r="H574" s="23" t="str">
        <f>IF(OR(A574="",B574="",D574=""),"",IFERROR(INDEX(Items!$D$5:$D$19,MATCH(B574,Items!$A$5:$A$19,0))+SUMIFS(D$4:D573,B$4:B573,B574),""))</f>
        <v/>
      </c>
      <c r="I574" s="23" t="str">
        <f t="shared" si="49"/>
        <v/>
      </c>
      <c r="J574" s="23" t="str">
        <f t="shared" si="50"/>
        <v/>
      </c>
      <c r="K574" s="18" t="str">
        <f t="shared" si="51"/>
        <v/>
      </c>
      <c r="L574" s="16" t="str">
        <f t="shared" ca="1" si="52"/>
        <v/>
      </c>
      <c r="M574" s="25" t="str">
        <f>IF(H574="","",IF(I574&lt;=0,"Shipped",IF(L574&lt;=AGE30,"Fresh",IF(L574&lt;=AGE60,"Watch",IF(L574&lt;=AGE90,"Aging","Old")))))</f>
        <v/>
      </c>
      <c r="N574" s="16" t="str">
        <f t="shared" si="53"/>
        <v/>
      </c>
    </row>
    <row r="575" spans="1:14" x14ac:dyDescent="0.2">
      <c r="A575" s="32"/>
      <c r="B575" s="27"/>
      <c r="C575" s="15" t="str">
        <f>IF(B575="","",IFERROR(INDEX(Items!$B$5:$B$19,MATCH(B575,Items!$A$5:$A$19,0)),"Unknown code"))</f>
        <v/>
      </c>
      <c r="D575" s="29"/>
      <c r="E575" s="18" t="str">
        <f>IF(B575="","",IFERROR(INDEX(Items!$C$5:$C$19,MATCH(B575,Items!$A$5:$A$19,0)),""))</f>
        <v/>
      </c>
      <c r="F575" s="18" t="str">
        <f t="shared" si="48"/>
        <v/>
      </c>
      <c r="G575" s="27"/>
      <c r="H575" s="23" t="str">
        <f>IF(OR(A575="",B575="",D575=""),"",IFERROR(INDEX(Items!$D$5:$D$19,MATCH(B575,Items!$A$5:$A$19,0))+SUMIFS(D$4:D574,B$4:B574,B575),""))</f>
        <v/>
      </c>
      <c r="I575" s="23" t="str">
        <f t="shared" si="49"/>
        <v/>
      </c>
      <c r="J575" s="23" t="str">
        <f t="shared" si="50"/>
        <v/>
      </c>
      <c r="K575" s="18" t="str">
        <f t="shared" si="51"/>
        <v/>
      </c>
      <c r="L575" s="16" t="str">
        <f t="shared" ca="1" si="52"/>
        <v/>
      </c>
      <c r="M575" s="25" t="str">
        <f>IF(H575="","",IF(I575&lt;=0,"Shipped",IF(L575&lt;=AGE30,"Fresh",IF(L575&lt;=AGE60,"Watch",IF(L575&lt;=AGE90,"Aging","Old")))))</f>
        <v/>
      </c>
      <c r="N575" s="16" t="str">
        <f t="shared" si="53"/>
        <v/>
      </c>
    </row>
    <row r="576" spans="1:14" x14ac:dyDescent="0.2">
      <c r="A576" s="32"/>
      <c r="B576" s="27"/>
      <c r="C576" s="15" t="str">
        <f>IF(B576="","",IFERROR(INDEX(Items!$B$5:$B$19,MATCH(B576,Items!$A$5:$A$19,0)),"Unknown code"))</f>
        <v/>
      </c>
      <c r="D576" s="29"/>
      <c r="E576" s="18" t="str">
        <f>IF(B576="","",IFERROR(INDEX(Items!$C$5:$C$19,MATCH(B576,Items!$A$5:$A$19,0)),""))</f>
        <v/>
      </c>
      <c r="F576" s="18" t="str">
        <f t="shared" si="48"/>
        <v/>
      </c>
      <c r="G576" s="27"/>
      <c r="H576" s="23" t="str">
        <f>IF(OR(A576="",B576="",D576=""),"",IFERROR(INDEX(Items!$D$5:$D$19,MATCH(B576,Items!$A$5:$A$19,0))+SUMIFS(D$4:D575,B$4:B575,B576),""))</f>
        <v/>
      </c>
      <c r="I576" s="23" t="str">
        <f t="shared" si="49"/>
        <v/>
      </c>
      <c r="J576" s="23" t="str">
        <f t="shared" si="50"/>
        <v/>
      </c>
      <c r="K576" s="18" t="str">
        <f t="shared" si="51"/>
        <v/>
      </c>
      <c r="L576" s="16" t="str">
        <f t="shared" ca="1" si="52"/>
        <v/>
      </c>
      <c r="M576" s="25" t="str">
        <f>IF(H576="","",IF(I576&lt;=0,"Shipped",IF(L576&lt;=AGE30,"Fresh",IF(L576&lt;=AGE60,"Watch",IF(L576&lt;=AGE90,"Aging","Old")))))</f>
        <v/>
      </c>
      <c r="N576" s="16" t="str">
        <f t="shared" si="53"/>
        <v/>
      </c>
    </row>
    <row r="577" spans="1:14" x14ac:dyDescent="0.2">
      <c r="A577" s="32"/>
      <c r="B577" s="27"/>
      <c r="C577" s="15" t="str">
        <f>IF(B577="","",IFERROR(INDEX(Items!$B$5:$B$19,MATCH(B577,Items!$A$5:$A$19,0)),"Unknown code"))</f>
        <v/>
      </c>
      <c r="D577" s="29"/>
      <c r="E577" s="18" t="str">
        <f>IF(B577="","",IFERROR(INDEX(Items!$C$5:$C$19,MATCH(B577,Items!$A$5:$A$19,0)),""))</f>
        <v/>
      </c>
      <c r="F577" s="18" t="str">
        <f t="shared" si="48"/>
        <v/>
      </c>
      <c r="G577" s="27"/>
      <c r="H577" s="23" t="str">
        <f>IF(OR(A577="",B577="",D577=""),"",IFERROR(INDEX(Items!$D$5:$D$19,MATCH(B577,Items!$A$5:$A$19,0))+SUMIFS(D$4:D576,B$4:B576,B577),""))</f>
        <v/>
      </c>
      <c r="I577" s="23" t="str">
        <f t="shared" si="49"/>
        <v/>
      </c>
      <c r="J577" s="23" t="str">
        <f t="shared" si="50"/>
        <v/>
      </c>
      <c r="K577" s="18" t="str">
        <f t="shared" si="51"/>
        <v/>
      </c>
      <c r="L577" s="16" t="str">
        <f t="shared" ca="1" si="52"/>
        <v/>
      </c>
      <c r="M577" s="25" t="str">
        <f>IF(H577="","",IF(I577&lt;=0,"Shipped",IF(L577&lt;=AGE30,"Fresh",IF(L577&lt;=AGE60,"Watch",IF(L577&lt;=AGE90,"Aging","Old")))))</f>
        <v/>
      </c>
      <c r="N577" s="16" t="str">
        <f t="shared" si="53"/>
        <v/>
      </c>
    </row>
    <row r="578" spans="1:14" x14ac:dyDescent="0.2">
      <c r="A578" s="32"/>
      <c r="B578" s="27"/>
      <c r="C578" s="15" t="str">
        <f>IF(B578="","",IFERROR(INDEX(Items!$B$5:$B$19,MATCH(B578,Items!$A$5:$A$19,0)),"Unknown code"))</f>
        <v/>
      </c>
      <c r="D578" s="29"/>
      <c r="E578" s="18" t="str">
        <f>IF(B578="","",IFERROR(INDEX(Items!$C$5:$C$19,MATCH(B578,Items!$A$5:$A$19,0)),""))</f>
        <v/>
      </c>
      <c r="F578" s="18" t="str">
        <f t="shared" si="48"/>
        <v/>
      </c>
      <c r="G578" s="27"/>
      <c r="H578" s="23" t="str">
        <f>IF(OR(A578="",B578="",D578=""),"",IFERROR(INDEX(Items!$D$5:$D$19,MATCH(B578,Items!$A$5:$A$19,0))+SUMIFS(D$4:D577,B$4:B577,B578),""))</f>
        <v/>
      </c>
      <c r="I578" s="23" t="str">
        <f t="shared" si="49"/>
        <v/>
      </c>
      <c r="J578" s="23" t="str">
        <f t="shared" si="50"/>
        <v/>
      </c>
      <c r="K578" s="18" t="str">
        <f t="shared" si="51"/>
        <v/>
      </c>
      <c r="L578" s="16" t="str">
        <f t="shared" ca="1" si="52"/>
        <v/>
      </c>
      <c r="M578" s="25" t="str">
        <f>IF(H578="","",IF(I578&lt;=0,"Shipped",IF(L578&lt;=AGE30,"Fresh",IF(L578&lt;=AGE60,"Watch",IF(L578&lt;=AGE90,"Aging","Old")))))</f>
        <v/>
      </c>
      <c r="N578" s="16" t="str">
        <f t="shared" si="53"/>
        <v/>
      </c>
    </row>
    <row r="579" spans="1:14" x14ac:dyDescent="0.2">
      <c r="A579" s="32"/>
      <c r="B579" s="27"/>
      <c r="C579" s="15" t="str">
        <f>IF(B579="","",IFERROR(INDEX(Items!$B$5:$B$19,MATCH(B579,Items!$A$5:$A$19,0)),"Unknown code"))</f>
        <v/>
      </c>
      <c r="D579" s="29"/>
      <c r="E579" s="18" t="str">
        <f>IF(B579="","",IFERROR(INDEX(Items!$C$5:$C$19,MATCH(B579,Items!$A$5:$A$19,0)),""))</f>
        <v/>
      </c>
      <c r="F579" s="18" t="str">
        <f t="shared" si="48"/>
        <v/>
      </c>
      <c r="G579" s="27"/>
      <c r="H579" s="23" t="str">
        <f>IF(OR(A579="",B579="",D579=""),"",IFERROR(INDEX(Items!$D$5:$D$19,MATCH(B579,Items!$A$5:$A$19,0))+SUMIFS(D$4:D578,B$4:B578,B579),""))</f>
        <v/>
      </c>
      <c r="I579" s="23" t="str">
        <f t="shared" si="49"/>
        <v/>
      </c>
      <c r="J579" s="23" t="str">
        <f t="shared" si="50"/>
        <v/>
      </c>
      <c r="K579" s="18" t="str">
        <f t="shared" si="51"/>
        <v/>
      </c>
      <c r="L579" s="16" t="str">
        <f t="shared" ca="1" si="52"/>
        <v/>
      </c>
      <c r="M579" s="25" t="str">
        <f>IF(H579="","",IF(I579&lt;=0,"Shipped",IF(L579&lt;=AGE30,"Fresh",IF(L579&lt;=AGE60,"Watch",IF(L579&lt;=AGE90,"Aging","Old")))))</f>
        <v/>
      </c>
      <c r="N579" s="16" t="str">
        <f t="shared" si="53"/>
        <v/>
      </c>
    </row>
    <row r="580" spans="1:14" x14ac:dyDescent="0.2">
      <c r="A580" s="32"/>
      <c r="B580" s="27"/>
      <c r="C580" s="15" t="str">
        <f>IF(B580="","",IFERROR(INDEX(Items!$B$5:$B$19,MATCH(B580,Items!$A$5:$A$19,0)),"Unknown code"))</f>
        <v/>
      </c>
      <c r="D580" s="29"/>
      <c r="E580" s="18" t="str">
        <f>IF(B580="","",IFERROR(INDEX(Items!$C$5:$C$19,MATCH(B580,Items!$A$5:$A$19,0)),""))</f>
        <v/>
      </c>
      <c r="F580" s="18" t="str">
        <f t="shared" si="48"/>
        <v/>
      </c>
      <c r="G580" s="27"/>
      <c r="H580" s="23" t="str">
        <f>IF(OR(A580="",B580="",D580=""),"",IFERROR(INDEX(Items!$D$5:$D$19,MATCH(B580,Items!$A$5:$A$19,0))+SUMIFS(D$4:D579,B$4:B579,B580),""))</f>
        <v/>
      </c>
      <c r="I580" s="23" t="str">
        <f t="shared" si="49"/>
        <v/>
      </c>
      <c r="J580" s="23" t="str">
        <f t="shared" si="50"/>
        <v/>
      </c>
      <c r="K580" s="18" t="str">
        <f t="shared" si="51"/>
        <v/>
      </c>
      <c r="L580" s="16" t="str">
        <f t="shared" ca="1" si="52"/>
        <v/>
      </c>
      <c r="M580" s="25" t="str">
        <f>IF(H580="","",IF(I580&lt;=0,"Shipped",IF(L580&lt;=AGE30,"Fresh",IF(L580&lt;=AGE60,"Watch",IF(L580&lt;=AGE90,"Aging","Old")))))</f>
        <v/>
      </c>
      <c r="N580" s="16" t="str">
        <f t="shared" si="53"/>
        <v/>
      </c>
    </row>
    <row r="581" spans="1:14" x14ac:dyDescent="0.2">
      <c r="A581" s="32"/>
      <c r="B581" s="27"/>
      <c r="C581" s="15" t="str">
        <f>IF(B581="","",IFERROR(INDEX(Items!$B$5:$B$19,MATCH(B581,Items!$A$5:$A$19,0)),"Unknown code"))</f>
        <v/>
      </c>
      <c r="D581" s="29"/>
      <c r="E581" s="18" t="str">
        <f>IF(B581="","",IFERROR(INDEX(Items!$C$5:$C$19,MATCH(B581,Items!$A$5:$A$19,0)),""))</f>
        <v/>
      </c>
      <c r="F581" s="18" t="str">
        <f t="shared" ref="F581:F644" si="54">IF(OR(D581="",E581=""),"",D581*E581)</f>
        <v/>
      </c>
      <c r="G581" s="27"/>
      <c r="H581" s="23" t="str">
        <f>IF(OR(A581="",B581="",D581=""),"",IFERROR(INDEX(Items!$D$5:$D$19,MATCH(B581,Items!$A$5:$A$19,0))+SUMIFS(D$4:D580,B$4:B580,B581),""))</f>
        <v/>
      </c>
      <c r="I581" s="23" t="str">
        <f t="shared" ref="I581:I644" si="55">IF(H581="","",MAX(0,MIN(D581,H581+D581-TotalShipped)))</f>
        <v/>
      </c>
      <c r="J581" s="23" t="str">
        <f t="shared" ref="J581:J644" si="56">IF(H581="","",D581-I581)</f>
        <v/>
      </c>
      <c r="K581" s="18" t="str">
        <f t="shared" ref="K581:K644" si="57">IF(OR(H581="",E581=""),"",I581*E581)</f>
        <v/>
      </c>
      <c r="L581" s="16" t="str">
        <f t="shared" ref="L581:L644" ca="1" si="58">IF(H581="","",IF(I581&gt;0,TODAY()-A581,""))</f>
        <v/>
      </c>
      <c r="M581" s="25" t="str">
        <f>IF(H581="","",IF(I581&lt;=0,"Shipped",IF(L581&lt;=AGE30,"Fresh",IF(L581&lt;=AGE60,"Watch",IF(L581&lt;=AGE90,"Aging","Old")))))</f>
        <v/>
      </c>
      <c r="N581" s="16" t="str">
        <f t="shared" ref="N581:N644" si="59">IF(H581="","",J581*A581)</f>
        <v/>
      </c>
    </row>
    <row r="582" spans="1:14" x14ac:dyDescent="0.2">
      <c r="A582" s="32"/>
      <c r="B582" s="27"/>
      <c r="C582" s="15" t="str">
        <f>IF(B582="","",IFERROR(INDEX(Items!$B$5:$B$19,MATCH(B582,Items!$A$5:$A$19,0)),"Unknown code"))</f>
        <v/>
      </c>
      <c r="D582" s="29"/>
      <c r="E582" s="18" t="str">
        <f>IF(B582="","",IFERROR(INDEX(Items!$C$5:$C$19,MATCH(B582,Items!$A$5:$A$19,0)),""))</f>
        <v/>
      </c>
      <c r="F582" s="18" t="str">
        <f t="shared" si="54"/>
        <v/>
      </c>
      <c r="G582" s="27"/>
      <c r="H582" s="23" t="str">
        <f>IF(OR(A582="",B582="",D582=""),"",IFERROR(INDEX(Items!$D$5:$D$19,MATCH(B582,Items!$A$5:$A$19,0))+SUMIFS(D$4:D581,B$4:B581,B582),""))</f>
        <v/>
      </c>
      <c r="I582" s="23" t="str">
        <f t="shared" si="55"/>
        <v/>
      </c>
      <c r="J582" s="23" t="str">
        <f t="shared" si="56"/>
        <v/>
      </c>
      <c r="K582" s="18" t="str">
        <f t="shared" si="57"/>
        <v/>
      </c>
      <c r="L582" s="16" t="str">
        <f t="shared" ca="1" si="58"/>
        <v/>
      </c>
      <c r="M582" s="25" t="str">
        <f>IF(H582="","",IF(I582&lt;=0,"Shipped",IF(L582&lt;=AGE30,"Fresh",IF(L582&lt;=AGE60,"Watch",IF(L582&lt;=AGE90,"Aging","Old")))))</f>
        <v/>
      </c>
      <c r="N582" s="16" t="str">
        <f t="shared" si="59"/>
        <v/>
      </c>
    </row>
    <row r="583" spans="1:14" x14ac:dyDescent="0.2">
      <c r="A583" s="32"/>
      <c r="B583" s="27"/>
      <c r="C583" s="15" t="str">
        <f>IF(B583="","",IFERROR(INDEX(Items!$B$5:$B$19,MATCH(B583,Items!$A$5:$A$19,0)),"Unknown code"))</f>
        <v/>
      </c>
      <c r="D583" s="29"/>
      <c r="E583" s="18" t="str">
        <f>IF(B583="","",IFERROR(INDEX(Items!$C$5:$C$19,MATCH(B583,Items!$A$5:$A$19,0)),""))</f>
        <v/>
      </c>
      <c r="F583" s="18" t="str">
        <f t="shared" si="54"/>
        <v/>
      </c>
      <c r="G583" s="27"/>
      <c r="H583" s="23" t="str">
        <f>IF(OR(A583="",B583="",D583=""),"",IFERROR(INDEX(Items!$D$5:$D$19,MATCH(B583,Items!$A$5:$A$19,0))+SUMIFS(D$4:D582,B$4:B582,B583),""))</f>
        <v/>
      </c>
      <c r="I583" s="23" t="str">
        <f t="shared" si="55"/>
        <v/>
      </c>
      <c r="J583" s="23" t="str">
        <f t="shared" si="56"/>
        <v/>
      </c>
      <c r="K583" s="18" t="str">
        <f t="shared" si="57"/>
        <v/>
      </c>
      <c r="L583" s="16" t="str">
        <f t="shared" ca="1" si="58"/>
        <v/>
      </c>
      <c r="M583" s="25" t="str">
        <f>IF(H583="","",IF(I583&lt;=0,"Shipped",IF(L583&lt;=AGE30,"Fresh",IF(L583&lt;=AGE60,"Watch",IF(L583&lt;=AGE90,"Aging","Old")))))</f>
        <v/>
      </c>
      <c r="N583" s="16" t="str">
        <f t="shared" si="59"/>
        <v/>
      </c>
    </row>
    <row r="584" spans="1:14" x14ac:dyDescent="0.2">
      <c r="A584" s="32"/>
      <c r="B584" s="27"/>
      <c r="C584" s="15" t="str">
        <f>IF(B584="","",IFERROR(INDEX(Items!$B$5:$B$19,MATCH(B584,Items!$A$5:$A$19,0)),"Unknown code"))</f>
        <v/>
      </c>
      <c r="D584" s="29"/>
      <c r="E584" s="18" t="str">
        <f>IF(B584="","",IFERROR(INDEX(Items!$C$5:$C$19,MATCH(B584,Items!$A$5:$A$19,0)),""))</f>
        <v/>
      </c>
      <c r="F584" s="18" t="str">
        <f t="shared" si="54"/>
        <v/>
      </c>
      <c r="G584" s="27"/>
      <c r="H584" s="23" t="str">
        <f>IF(OR(A584="",B584="",D584=""),"",IFERROR(INDEX(Items!$D$5:$D$19,MATCH(B584,Items!$A$5:$A$19,0))+SUMIFS(D$4:D583,B$4:B583,B584),""))</f>
        <v/>
      </c>
      <c r="I584" s="23" t="str">
        <f t="shared" si="55"/>
        <v/>
      </c>
      <c r="J584" s="23" t="str">
        <f t="shared" si="56"/>
        <v/>
      </c>
      <c r="K584" s="18" t="str">
        <f t="shared" si="57"/>
        <v/>
      </c>
      <c r="L584" s="16" t="str">
        <f t="shared" ca="1" si="58"/>
        <v/>
      </c>
      <c r="M584" s="25" t="str">
        <f>IF(H584="","",IF(I584&lt;=0,"Shipped",IF(L584&lt;=AGE30,"Fresh",IF(L584&lt;=AGE60,"Watch",IF(L584&lt;=AGE90,"Aging","Old")))))</f>
        <v/>
      </c>
      <c r="N584" s="16" t="str">
        <f t="shared" si="59"/>
        <v/>
      </c>
    </row>
    <row r="585" spans="1:14" x14ac:dyDescent="0.2">
      <c r="A585" s="32"/>
      <c r="B585" s="27"/>
      <c r="C585" s="15" t="str">
        <f>IF(B585="","",IFERROR(INDEX(Items!$B$5:$B$19,MATCH(B585,Items!$A$5:$A$19,0)),"Unknown code"))</f>
        <v/>
      </c>
      <c r="D585" s="29"/>
      <c r="E585" s="18" t="str">
        <f>IF(B585="","",IFERROR(INDEX(Items!$C$5:$C$19,MATCH(B585,Items!$A$5:$A$19,0)),""))</f>
        <v/>
      </c>
      <c r="F585" s="18" t="str">
        <f t="shared" si="54"/>
        <v/>
      </c>
      <c r="G585" s="27"/>
      <c r="H585" s="23" t="str">
        <f>IF(OR(A585="",B585="",D585=""),"",IFERROR(INDEX(Items!$D$5:$D$19,MATCH(B585,Items!$A$5:$A$19,0))+SUMIFS(D$4:D584,B$4:B584,B585),""))</f>
        <v/>
      </c>
      <c r="I585" s="23" t="str">
        <f t="shared" si="55"/>
        <v/>
      </c>
      <c r="J585" s="23" t="str">
        <f t="shared" si="56"/>
        <v/>
      </c>
      <c r="K585" s="18" t="str">
        <f t="shared" si="57"/>
        <v/>
      </c>
      <c r="L585" s="16" t="str">
        <f t="shared" ca="1" si="58"/>
        <v/>
      </c>
      <c r="M585" s="25" t="str">
        <f>IF(H585="","",IF(I585&lt;=0,"Shipped",IF(L585&lt;=AGE30,"Fresh",IF(L585&lt;=AGE60,"Watch",IF(L585&lt;=AGE90,"Aging","Old")))))</f>
        <v/>
      </c>
      <c r="N585" s="16" t="str">
        <f t="shared" si="59"/>
        <v/>
      </c>
    </row>
    <row r="586" spans="1:14" x14ac:dyDescent="0.2">
      <c r="A586" s="32"/>
      <c r="B586" s="27"/>
      <c r="C586" s="15" t="str">
        <f>IF(B586="","",IFERROR(INDEX(Items!$B$5:$B$19,MATCH(B586,Items!$A$5:$A$19,0)),"Unknown code"))</f>
        <v/>
      </c>
      <c r="D586" s="29"/>
      <c r="E586" s="18" t="str">
        <f>IF(B586="","",IFERROR(INDEX(Items!$C$5:$C$19,MATCH(B586,Items!$A$5:$A$19,0)),""))</f>
        <v/>
      </c>
      <c r="F586" s="18" t="str">
        <f t="shared" si="54"/>
        <v/>
      </c>
      <c r="G586" s="27"/>
      <c r="H586" s="23" t="str">
        <f>IF(OR(A586="",B586="",D586=""),"",IFERROR(INDEX(Items!$D$5:$D$19,MATCH(B586,Items!$A$5:$A$19,0))+SUMIFS(D$4:D585,B$4:B585,B586),""))</f>
        <v/>
      </c>
      <c r="I586" s="23" t="str">
        <f t="shared" si="55"/>
        <v/>
      </c>
      <c r="J586" s="23" t="str">
        <f t="shared" si="56"/>
        <v/>
      </c>
      <c r="K586" s="18" t="str">
        <f t="shared" si="57"/>
        <v/>
      </c>
      <c r="L586" s="16" t="str">
        <f t="shared" ca="1" si="58"/>
        <v/>
      </c>
      <c r="M586" s="25" t="str">
        <f>IF(H586="","",IF(I586&lt;=0,"Shipped",IF(L586&lt;=AGE30,"Fresh",IF(L586&lt;=AGE60,"Watch",IF(L586&lt;=AGE90,"Aging","Old")))))</f>
        <v/>
      </c>
      <c r="N586" s="16" t="str">
        <f t="shared" si="59"/>
        <v/>
      </c>
    </row>
    <row r="587" spans="1:14" x14ac:dyDescent="0.2">
      <c r="A587" s="32"/>
      <c r="B587" s="27"/>
      <c r="C587" s="15" t="str">
        <f>IF(B587="","",IFERROR(INDEX(Items!$B$5:$B$19,MATCH(B587,Items!$A$5:$A$19,0)),"Unknown code"))</f>
        <v/>
      </c>
      <c r="D587" s="29"/>
      <c r="E587" s="18" t="str">
        <f>IF(B587="","",IFERROR(INDEX(Items!$C$5:$C$19,MATCH(B587,Items!$A$5:$A$19,0)),""))</f>
        <v/>
      </c>
      <c r="F587" s="18" t="str">
        <f t="shared" si="54"/>
        <v/>
      </c>
      <c r="G587" s="27"/>
      <c r="H587" s="23" t="str">
        <f>IF(OR(A587="",B587="",D587=""),"",IFERROR(INDEX(Items!$D$5:$D$19,MATCH(B587,Items!$A$5:$A$19,0))+SUMIFS(D$4:D586,B$4:B586,B587),""))</f>
        <v/>
      </c>
      <c r="I587" s="23" t="str">
        <f t="shared" si="55"/>
        <v/>
      </c>
      <c r="J587" s="23" t="str">
        <f t="shared" si="56"/>
        <v/>
      </c>
      <c r="K587" s="18" t="str">
        <f t="shared" si="57"/>
        <v/>
      </c>
      <c r="L587" s="16" t="str">
        <f t="shared" ca="1" si="58"/>
        <v/>
      </c>
      <c r="M587" s="25" t="str">
        <f>IF(H587="","",IF(I587&lt;=0,"Shipped",IF(L587&lt;=AGE30,"Fresh",IF(L587&lt;=AGE60,"Watch",IF(L587&lt;=AGE90,"Aging","Old")))))</f>
        <v/>
      </c>
      <c r="N587" s="16" t="str">
        <f t="shared" si="59"/>
        <v/>
      </c>
    </row>
    <row r="588" spans="1:14" x14ac:dyDescent="0.2">
      <c r="A588" s="32"/>
      <c r="B588" s="27"/>
      <c r="C588" s="15" t="str">
        <f>IF(B588="","",IFERROR(INDEX(Items!$B$5:$B$19,MATCH(B588,Items!$A$5:$A$19,0)),"Unknown code"))</f>
        <v/>
      </c>
      <c r="D588" s="29"/>
      <c r="E588" s="18" t="str">
        <f>IF(B588="","",IFERROR(INDEX(Items!$C$5:$C$19,MATCH(B588,Items!$A$5:$A$19,0)),""))</f>
        <v/>
      </c>
      <c r="F588" s="18" t="str">
        <f t="shared" si="54"/>
        <v/>
      </c>
      <c r="G588" s="27"/>
      <c r="H588" s="23" t="str">
        <f>IF(OR(A588="",B588="",D588=""),"",IFERROR(INDEX(Items!$D$5:$D$19,MATCH(B588,Items!$A$5:$A$19,0))+SUMIFS(D$4:D587,B$4:B587,B588),""))</f>
        <v/>
      </c>
      <c r="I588" s="23" t="str">
        <f t="shared" si="55"/>
        <v/>
      </c>
      <c r="J588" s="23" t="str">
        <f t="shared" si="56"/>
        <v/>
      </c>
      <c r="K588" s="18" t="str">
        <f t="shared" si="57"/>
        <v/>
      </c>
      <c r="L588" s="16" t="str">
        <f t="shared" ca="1" si="58"/>
        <v/>
      </c>
      <c r="M588" s="25" t="str">
        <f>IF(H588="","",IF(I588&lt;=0,"Shipped",IF(L588&lt;=AGE30,"Fresh",IF(L588&lt;=AGE60,"Watch",IF(L588&lt;=AGE90,"Aging","Old")))))</f>
        <v/>
      </c>
      <c r="N588" s="16" t="str">
        <f t="shared" si="59"/>
        <v/>
      </c>
    </row>
    <row r="589" spans="1:14" x14ac:dyDescent="0.2">
      <c r="A589" s="32"/>
      <c r="B589" s="27"/>
      <c r="C589" s="15" t="str">
        <f>IF(B589="","",IFERROR(INDEX(Items!$B$5:$B$19,MATCH(B589,Items!$A$5:$A$19,0)),"Unknown code"))</f>
        <v/>
      </c>
      <c r="D589" s="29"/>
      <c r="E589" s="18" t="str">
        <f>IF(B589="","",IFERROR(INDEX(Items!$C$5:$C$19,MATCH(B589,Items!$A$5:$A$19,0)),""))</f>
        <v/>
      </c>
      <c r="F589" s="18" t="str">
        <f t="shared" si="54"/>
        <v/>
      </c>
      <c r="G589" s="27"/>
      <c r="H589" s="23" t="str">
        <f>IF(OR(A589="",B589="",D589=""),"",IFERROR(INDEX(Items!$D$5:$D$19,MATCH(B589,Items!$A$5:$A$19,0))+SUMIFS(D$4:D588,B$4:B588,B589),""))</f>
        <v/>
      </c>
      <c r="I589" s="23" t="str">
        <f t="shared" si="55"/>
        <v/>
      </c>
      <c r="J589" s="23" t="str">
        <f t="shared" si="56"/>
        <v/>
      </c>
      <c r="K589" s="18" t="str">
        <f t="shared" si="57"/>
        <v/>
      </c>
      <c r="L589" s="16" t="str">
        <f t="shared" ca="1" si="58"/>
        <v/>
      </c>
      <c r="M589" s="25" t="str">
        <f>IF(H589="","",IF(I589&lt;=0,"Shipped",IF(L589&lt;=AGE30,"Fresh",IF(L589&lt;=AGE60,"Watch",IF(L589&lt;=AGE90,"Aging","Old")))))</f>
        <v/>
      </c>
      <c r="N589" s="16" t="str">
        <f t="shared" si="59"/>
        <v/>
      </c>
    </row>
    <row r="590" spans="1:14" x14ac:dyDescent="0.2">
      <c r="A590" s="32"/>
      <c r="B590" s="27"/>
      <c r="C590" s="15" t="str">
        <f>IF(B590="","",IFERROR(INDEX(Items!$B$5:$B$19,MATCH(B590,Items!$A$5:$A$19,0)),"Unknown code"))</f>
        <v/>
      </c>
      <c r="D590" s="29"/>
      <c r="E590" s="18" t="str">
        <f>IF(B590="","",IFERROR(INDEX(Items!$C$5:$C$19,MATCH(B590,Items!$A$5:$A$19,0)),""))</f>
        <v/>
      </c>
      <c r="F590" s="18" t="str">
        <f t="shared" si="54"/>
        <v/>
      </c>
      <c r="G590" s="27"/>
      <c r="H590" s="23" t="str">
        <f>IF(OR(A590="",B590="",D590=""),"",IFERROR(INDEX(Items!$D$5:$D$19,MATCH(B590,Items!$A$5:$A$19,0))+SUMIFS(D$4:D589,B$4:B589,B590),""))</f>
        <v/>
      </c>
      <c r="I590" s="23" t="str">
        <f t="shared" si="55"/>
        <v/>
      </c>
      <c r="J590" s="23" t="str">
        <f t="shared" si="56"/>
        <v/>
      </c>
      <c r="K590" s="18" t="str">
        <f t="shared" si="57"/>
        <v/>
      </c>
      <c r="L590" s="16" t="str">
        <f t="shared" ca="1" si="58"/>
        <v/>
      </c>
      <c r="M590" s="25" t="str">
        <f>IF(H590="","",IF(I590&lt;=0,"Shipped",IF(L590&lt;=AGE30,"Fresh",IF(L590&lt;=AGE60,"Watch",IF(L590&lt;=AGE90,"Aging","Old")))))</f>
        <v/>
      </c>
      <c r="N590" s="16" t="str">
        <f t="shared" si="59"/>
        <v/>
      </c>
    </row>
    <row r="591" spans="1:14" x14ac:dyDescent="0.2">
      <c r="A591" s="32"/>
      <c r="B591" s="27"/>
      <c r="C591" s="15" t="str">
        <f>IF(B591="","",IFERROR(INDEX(Items!$B$5:$B$19,MATCH(B591,Items!$A$5:$A$19,0)),"Unknown code"))</f>
        <v/>
      </c>
      <c r="D591" s="29"/>
      <c r="E591" s="18" t="str">
        <f>IF(B591="","",IFERROR(INDEX(Items!$C$5:$C$19,MATCH(B591,Items!$A$5:$A$19,0)),""))</f>
        <v/>
      </c>
      <c r="F591" s="18" t="str">
        <f t="shared" si="54"/>
        <v/>
      </c>
      <c r="G591" s="27"/>
      <c r="H591" s="23" t="str">
        <f>IF(OR(A591="",B591="",D591=""),"",IFERROR(INDEX(Items!$D$5:$D$19,MATCH(B591,Items!$A$5:$A$19,0))+SUMIFS(D$4:D590,B$4:B590,B591),""))</f>
        <v/>
      </c>
      <c r="I591" s="23" t="str">
        <f t="shared" si="55"/>
        <v/>
      </c>
      <c r="J591" s="23" t="str">
        <f t="shared" si="56"/>
        <v/>
      </c>
      <c r="K591" s="18" t="str">
        <f t="shared" si="57"/>
        <v/>
      </c>
      <c r="L591" s="16" t="str">
        <f t="shared" ca="1" si="58"/>
        <v/>
      </c>
      <c r="M591" s="25" t="str">
        <f>IF(H591="","",IF(I591&lt;=0,"Shipped",IF(L591&lt;=AGE30,"Fresh",IF(L591&lt;=AGE60,"Watch",IF(L591&lt;=AGE90,"Aging","Old")))))</f>
        <v/>
      </c>
      <c r="N591" s="16" t="str">
        <f t="shared" si="59"/>
        <v/>
      </c>
    </row>
    <row r="592" spans="1:14" x14ac:dyDescent="0.2">
      <c r="A592" s="32"/>
      <c r="B592" s="27"/>
      <c r="C592" s="15" t="str">
        <f>IF(B592="","",IFERROR(INDEX(Items!$B$5:$B$19,MATCH(B592,Items!$A$5:$A$19,0)),"Unknown code"))</f>
        <v/>
      </c>
      <c r="D592" s="29"/>
      <c r="E592" s="18" t="str">
        <f>IF(B592="","",IFERROR(INDEX(Items!$C$5:$C$19,MATCH(B592,Items!$A$5:$A$19,0)),""))</f>
        <v/>
      </c>
      <c r="F592" s="18" t="str">
        <f t="shared" si="54"/>
        <v/>
      </c>
      <c r="G592" s="27"/>
      <c r="H592" s="23" t="str">
        <f>IF(OR(A592="",B592="",D592=""),"",IFERROR(INDEX(Items!$D$5:$D$19,MATCH(B592,Items!$A$5:$A$19,0))+SUMIFS(D$4:D591,B$4:B591,B592),""))</f>
        <v/>
      </c>
      <c r="I592" s="23" t="str">
        <f t="shared" si="55"/>
        <v/>
      </c>
      <c r="J592" s="23" t="str">
        <f t="shared" si="56"/>
        <v/>
      </c>
      <c r="K592" s="18" t="str">
        <f t="shared" si="57"/>
        <v/>
      </c>
      <c r="L592" s="16" t="str">
        <f t="shared" ca="1" si="58"/>
        <v/>
      </c>
      <c r="M592" s="25" t="str">
        <f>IF(H592="","",IF(I592&lt;=0,"Shipped",IF(L592&lt;=AGE30,"Fresh",IF(L592&lt;=AGE60,"Watch",IF(L592&lt;=AGE90,"Aging","Old")))))</f>
        <v/>
      </c>
      <c r="N592" s="16" t="str">
        <f t="shared" si="59"/>
        <v/>
      </c>
    </row>
    <row r="593" spans="1:14" x14ac:dyDescent="0.2">
      <c r="A593" s="32"/>
      <c r="B593" s="27"/>
      <c r="C593" s="15" t="str">
        <f>IF(B593="","",IFERROR(INDEX(Items!$B$5:$B$19,MATCH(B593,Items!$A$5:$A$19,0)),"Unknown code"))</f>
        <v/>
      </c>
      <c r="D593" s="29"/>
      <c r="E593" s="18" t="str">
        <f>IF(B593="","",IFERROR(INDEX(Items!$C$5:$C$19,MATCH(B593,Items!$A$5:$A$19,0)),""))</f>
        <v/>
      </c>
      <c r="F593" s="18" t="str">
        <f t="shared" si="54"/>
        <v/>
      </c>
      <c r="G593" s="27"/>
      <c r="H593" s="23" t="str">
        <f>IF(OR(A593="",B593="",D593=""),"",IFERROR(INDEX(Items!$D$5:$D$19,MATCH(B593,Items!$A$5:$A$19,0))+SUMIFS(D$4:D592,B$4:B592,B593),""))</f>
        <v/>
      </c>
      <c r="I593" s="23" t="str">
        <f t="shared" si="55"/>
        <v/>
      </c>
      <c r="J593" s="23" t="str">
        <f t="shared" si="56"/>
        <v/>
      </c>
      <c r="K593" s="18" t="str">
        <f t="shared" si="57"/>
        <v/>
      </c>
      <c r="L593" s="16" t="str">
        <f t="shared" ca="1" si="58"/>
        <v/>
      </c>
      <c r="M593" s="25" t="str">
        <f>IF(H593="","",IF(I593&lt;=0,"Shipped",IF(L593&lt;=AGE30,"Fresh",IF(L593&lt;=AGE60,"Watch",IF(L593&lt;=AGE90,"Aging","Old")))))</f>
        <v/>
      </c>
      <c r="N593" s="16" t="str">
        <f t="shared" si="59"/>
        <v/>
      </c>
    </row>
    <row r="594" spans="1:14" x14ac:dyDescent="0.2">
      <c r="A594" s="32"/>
      <c r="B594" s="27"/>
      <c r="C594" s="15" t="str">
        <f>IF(B594="","",IFERROR(INDEX(Items!$B$5:$B$19,MATCH(B594,Items!$A$5:$A$19,0)),"Unknown code"))</f>
        <v/>
      </c>
      <c r="D594" s="29"/>
      <c r="E594" s="18" t="str">
        <f>IF(B594="","",IFERROR(INDEX(Items!$C$5:$C$19,MATCH(B594,Items!$A$5:$A$19,0)),""))</f>
        <v/>
      </c>
      <c r="F594" s="18" t="str">
        <f t="shared" si="54"/>
        <v/>
      </c>
      <c r="G594" s="27"/>
      <c r="H594" s="23" t="str">
        <f>IF(OR(A594="",B594="",D594=""),"",IFERROR(INDEX(Items!$D$5:$D$19,MATCH(B594,Items!$A$5:$A$19,0))+SUMIFS(D$4:D593,B$4:B593,B594),""))</f>
        <v/>
      </c>
      <c r="I594" s="23" t="str">
        <f t="shared" si="55"/>
        <v/>
      </c>
      <c r="J594" s="23" t="str">
        <f t="shared" si="56"/>
        <v/>
      </c>
      <c r="K594" s="18" t="str">
        <f t="shared" si="57"/>
        <v/>
      </c>
      <c r="L594" s="16" t="str">
        <f t="shared" ca="1" si="58"/>
        <v/>
      </c>
      <c r="M594" s="25" t="str">
        <f>IF(H594="","",IF(I594&lt;=0,"Shipped",IF(L594&lt;=AGE30,"Fresh",IF(L594&lt;=AGE60,"Watch",IF(L594&lt;=AGE90,"Aging","Old")))))</f>
        <v/>
      </c>
      <c r="N594" s="16" t="str">
        <f t="shared" si="59"/>
        <v/>
      </c>
    </row>
    <row r="595" spans="1:14" x14ac:dyDescent="0.2">
      <c r="A595" s="32"/>
      <c r="B595" s="27"/>
      <c r="C595" s="15" t="str">
        <f>IF(B595="","",IFERROR(INDEX(Items!$B$5:$B$19,MATCH(B595,Items!$A$5:$A$19,0)),"Unknown code"))</f>
        <v/>
      </c>
      <c r="D595" s="29"/>
      <c r="E595" s="18" t="str">
        <f>IF(B595="","",IFERROR(INDEX(Items!$C$5:$C$19,MATCH(B595,Items!$A$5:$A$19,0)),""))</f>
        <v/>
      </c>
      <c r="F595" s="18" t="str">
        <f t="shared" si="54"/>
        <v/>
      </c>
      <c r="G595" s="27"/>
      <c r="H595" s="23" t="str">
        <f>IF(OR(A595="",B595="",D595=""),"",IFERROR(INDEX(Items!$D$5:$D$19,MATCH(B595,Items!$A$5:$A$19,0))+SUMIFS(D$4:D594,B$4:B594,B595),""))</f>
        <v/>
      </c>
      <c r="I595" s="23" t="str">
        <f t="shared" si="55"/>
        <v/>
      </c>
      <c r="J595" s="23" t="str">
        <f t="shared" si="56"/>
        <v/>
      </c>
      <c r="K595" s="18" t="str">
        <f t="shared" si="57"/>
        <v/>
      </c>
      <c r="L595" s="16" t="str">
        <f t="shared" ca="1" si="58"/>
        <v/>
      </c>
      <c r="M595" s="25" t="str">
        <f>IF(H595="","",IF(I595&lt;=0,"Shipped",IF(L595&lt;=AGE30,"Fresh",IF(L595&lt;=AGE60,"Watch",IF(L595&lt;=AGE90,"Aging","Old")))))</f>
        <v/>
      </c>
      <c r="N595" s="16" t="str">
        <f t="shared" si="59"/>
        <v/>
      </c>
    </row>
    <row r="596" spans="1:14" x14ac:dyDescent="0.2">
      <c r="A596" s="32"/>
      <c r="B596" s="27"/>
      <c r="C596" s="15" t="str">
        <f>IF(B596="","",IFERROR(INDEX(Items!$B$5:$B$19,MATCH(B596,Items!$A$5:$A$19,0)),"Unknown code"))</f>
        <v/>
      </c>
      <c r="D596" s="29"/>
      <c r="E596" s="18" t="str">
        <f>IF(B596="","",IFERROR(INDEX(Items!$C$5:$C$19,MATCH(B596,Items!$A$5:$A$19,0)),""))</f>
        <v/>
      </c>
      <c r="F596" s="18" t="str">
        <f t="shared" si="54"/>
        <v/>
      </c>
      <c r="G596" s="27"/>
      <c r="H596" s="23" t="str">
        <f>IF(OR(A596="",B596="",D596=""),"",IFERROR(INDEX(Items!$D$5:$D$19,MATCH(B596,Items!$A$5:$A$19,0))+SUMIFS(D$4:D595,B$4:B595,B596),""))</f>
        <v/>
      </c>
      <c r="I596" s="23" t="str">
        <f t="shared" si="55"/>
        <v/>
      </c>
      <c r="J596" s="23" t="str">
        <f t="shared" si="56"/>
        <v/>
      </c>
      <c r="K596" s="18" t="str">
        <f t="shared" si="57"/>
        <v/>
      </c>
      <c r="L596" s="16" t="str">
        <f t="shared" ca="1" si="58"/>
        <v/>
      </c>
      <c r="M596" s="25" t="str">
        <f>IF(H596="","",IF(I596&lt;=0,"Shipped",IF(L596&lt;=AGE30,"Fresh",IF(L596&lt;=AGE60,"Watch",IF(L596&lt;=AGE90,"Aging","Old")))))</f>
        <v/>
      </c>
      <c r="N596" s="16" t="str">
        <f t="shared" si="59"/>
        <v/>
      </c>
    </row>
    <row r="597" spans="1:14" x14ac:dyDescent="0.2">
      <c r="A597" s="32"/>
      <c r="B597" s="27"/>
      <c r="C597" s="15" t="str">
        <f>IF(B597="","",IFERROR(INDEX(Items!$B$5:$B$19,MATCH(B597,Items!$A$5:$A$19,0)),"Unknown code"))</f>
        <v/>
      </c>
      <c r="D597" s="29"/>
      <c r="E597" s="18" t="str">
        <f>IF(B597="","",IFERROR(INDEX(Items!$C$5:$C$19,MATCH(B597,Items!$A$5:$A$19,0)),""))</f>
        <v/>
      </c>
      <c r="F597" s="18" t="str">
        <f t="shared" si="54"/>
        <v/>
      </c>
      <c r="G597" s="27"/>
      <c r="H597" s="23" t="str">
        <f>IF(OR(A597="",B597="",D597=""),"",IFERROR(INDEX(Items!$D$5:$D$19,MATCH(B597,Items!$A$5:$A$19,0))+SUMIFS(D$4:D596,B$4:B596,B597),""))</f>
        <v/>
      </c>
      <c r="I597" s="23" t="str">
        <f t="shared" si="55"/>
        <v/>
      </c>
      <c r="J597" s="23" t="str">
        <f t="shared" si="56"/>
        <v/>
      </c>
      <c r="K597" s="18" t="str">
        <f t="shared" si="57"/>
        <v/>
      </c>
      <c r="L597" s="16" t="str">
        <f t="shared" ca="1" si="58"/>
        <v/>
      </c>
      <c r="M597" s="25" t="str">
        <f>IF(H597="","",IF(I597&lt;=0,"Shipped",IF(L597&lt;=AGE30,"Fresh",IF(L597&lt;=AGE60,"Watch",IF(L597&lt;=AGE90,"Aging","Old")))))</f>
        <v/>
      </c>
      <c r="N597" s="16" t="str">
        <f t="shared" si="59"/>
        <v/>
      </c>
    </row>
    <row r="598" spans="1:14" x14ac:dyDescent="0.2">
      <c r="A598" s="32"/>
      <c r="B598" s="27"/>
      <c r="C598" s="15" t="str">
        <f>IF(B598="","",IFERROR(INDEX(Items!$B$5:$B$19,MATCH(B598,Items!$A$5:$A$19,0)),"Unknown code"))</f>
        <v/>
      </c>
      <c r="D598" s="29"/>
      <c r="E598" s="18" t="str">
        <f>IF(B598="","",IFERROR(INDEX(Items!$C$5:$C$19,MATCH(B598,Items!$A$5:$A$19,0)),""))</f>
        <v/>
      </c>
      <c r="F598" s="18" t="str">
        <f t="shared" si="54"/>
        <v/>
      </c>
      <c r="G598" s="27"/>
      <c r="H598" s="23" t="str">
        <f>IF(OR(A598="",B598="",D598=""),"",IFERROR(INDEX(Items!$D$5:$D$19,MATCH(B598,Items!$A$5:$A$19,0))+SUMIFS(D$4:D597,B$4:B597,B598),""))</f>
        <v/>
      </c>
      <c r="I598" s="23" t="str">
        <f t="shared" si="55"/>
        <v/>
      </c>
      <c r="J598" s="23" t="str">
        <f t="shared" si="56"/>
        <v/>
      </c>
      <c r="K598" s="18" t="str">
        <f t="shared" si="57"/>
        <v/>
      </c>
      <c r="L598" s="16" t="str">
        <f t="shared" ca="1" si="58"/>
        <v/>
      </c>
      <c r="M598" s="25" t="str">
        <f>IF(H598="","",IF(I598&lt;=0,"Shipped",IF(L598&lt;=AGE30,"Fresh",IF(L598&lt;=AGE60,"Watch",IF(L598&lt;=AGE90,"Aging","Old")))))</f>
        <v/>
      </c>
      <c r="N598" s="16" t="str">
        <f t="shared" si="59"/>
        <v/>
      </c>
    </row>
    <row r="599" spans="1:14" x14ac:dyDescent="0.2">
      <c r="A599" s="32"/>
      <c r="B599" s="27"/>
      <c r="C599" s="15" t="str">
        <f>IF(B599="","",IFERROR(INDEX(Items!$B$5:$B$19,MATCH(B599,Items!$A$5:$A$19,0)),"Unknown code"))</f>
        <v/>
      </c>
      <c r="D599" s="29"/>
      <c r="E599" s="18" t="str">
        <f>IF(B599="","",IFERROR(INDEX(Items!$C$5:$C$19,MATCH(B599,Items!$A$5:$A$19,0)),""))</f>
        <v/>
      </c>
      <c r="F599" s="18" t="str">
        <f t="shared" si="54"/>
        <v/>
      </c>
      <c r="G599" s="27"/>
      <c r="H599" s="23" t="str">
        <f>IF(OR(A599="",B599="",D599=""),"",IFERROR(INDEX(Items!$D$5:$D$19,MATCH(B599,Items!$A$5:$A$19,0))+SUMIFS(D$4:D598,B$4:B598,B599),""))</f>
        <v/>
      </c>
      <c r="I599" s="23" t="str">
        <f t="shared" si="55"/>
        <v/>
      </c>
      <c r="J599" s="23" t="str">
        <f t="shared" si="56"/>
        <v/>
      </c>
      <c r="K599" s="18" t="str">
        <f t="shared" si="57"/>
        <v/>
      </c>
      <c r="L599" s="16" t="str">
        <f t="shared" ca="1" si="58"/>
        <v/>
      </c>
      <c r="M599" s="25" t="str">
        <f>IF(H599="","",IF(I599&lt;=0,"Shipped",IF(L599&lt;=AGE30,"Fresh",IF(L599&lt;=AGE60,"Watch",IF(L599&lt;=AGE90,"Aging","Old")))))</f>
        <v/>
      </c>
      <c r="N599" s="16" t="str">
        <f t="shared" si="59"/>
        <v/>
      </c>
    </row>
    <row r="600" spans="1:14" x14ac:dyDescent="0.2">
      <c r="A600" s="32"/>
      <c r="B600" s="27"/>
      <c r="C600" s="15" t="str">
        <f>IF(B600="","",IFERROR(INDEX(Items!$B$5:$B$19,MATCH(B600,Items!$A$5:$A$19,0)),"Unknown code"))</f>
        <v/>
      </c>
      <c r="D600" s="29"/>
      <c r="E600" s="18" t="str">
        <f>IF(B600="","",IFERROR(INDEX(Items!$C$5:$C$19,MATCH(B600,Items!$A$5:$A$19,0)),""))</f>
        <v/>
      </c>
      <c r="F600" s="18" t="str">
        <f t="shared" si="54"/>
        <v/>
      </c>
      <c r="G600" s="27"/>
      <c r="H600" s="23" t="str">
        <f>IF(OR(A600="",B600="",D600=""),"",IFERROR(INDEX(Items!$D$5:$D$19,MATCH(B600,Items!$A$5:$A$19,0))+SUMIFS(D$4:D599,B$4:B599,B600),""))</f>
        <v/>
      </c>
      <c r="I600" s="23" t="str">
        <f t="shared" si="55"/>
        <v/>
      </c>
      <c r="J600" s="23" t="str">
        <f t="shared" si="56"/>
        <v/>
      </c>
      <c r="K600" s="18" t="str">
        <f t="shared" si="57"/>
        <v/>
      </c>
      <c r="L600" s="16" t="str">
        <f t="shared" ca="1" si="58"/>
        <v/>
      </c>
      <c r="M600" s="25" t="str">
        <f>IF(H600="","",IF(I600&lt;=0,"Shipped",IF(L600&lt;=AGE30,"Fresh",IF(L600&lt;=AGE60,"Watch",IF(L600&lt;=AGE90,"Aging","Old")))))</f>
        <v/>
      </c>
      <c r="N600" s="16" t="str">
        <f t="shared" si="59"/>
        <v/>
      </c>
    </row>
    <row r="601" spans="1:14" x14ac:dyDescent="0.2">
      <c r="A601" s="32"/>
      <c r="B601" s="27"/>
      <c r="C601" s="15" t="str">
        <f>IF(B601="","",IFERROR(INDEX(Items!$B$5:$B$19,MATCH(B601,Items!$A$5:$A$19,0)),"Unknown code"))</f>
        <v/>
      </c>
      <c r="D601" s="29"/>
      <c r="E601" s="18" t="str">
        <f>IF(B601="","",IFERROR(INDEX(Items!$C$5:$C$19,MATCH(B601,Items!$A$5:$A$19,0)),""))</f>
        <v/>
      </c>
      <c r="F601" s="18" t="str">
        <f t="shared" si="54"/>
        <v/>
      </c>
      <c r="G601" s="27"/>
      <c r="H601" s="23" t="str">
        <f>IF(OR(A601="",B601="",D601=""),"",IFERROR(INDEX(Items!$D$5:$D$19,MATCH(B601,Items!$A$5:$A$19,0))+SUMIFS(D$4:D600,B$4:B600,B601),""))</f>
        <v/>
      </c>
      <c r="I601" s="23" t="str">
        <f t="shared" si="55"/>
        <v/>
      </c>
      <c r="J601" s="23" t="str">
        <f t="shared" si="56"/>
        <v/>
      </c>
      <c r="K601" s="18" t="str">
        <f t="shared" si="57"/>
        <v/>
      </c>
      <c r="L601" s="16" t="str">
        <f t="shared" ca="1" si="58"/>
        <v/>
      </c>
      <c r="M601" s="25" t="str">
        <f>IF(H601="","",IF(I601&lt;=0,"Shipped",IF(L601&lt;=AGE30,"Fresh",IF(L601&lt;=AGE60,"Watch",IF(L601&lt;=AGE90,"Aging","Old")))))</f>
        <v/>
      </c>
      <c r="N601" s="16" t="str">
        <f t="shared" si="59"/>
        <v/>
      </c>
    </row>
    <row r="602" spans="1:14" x14ac:dyDescent="0.2">
      <c r="A602" s="32"/>
      <c r="B602" s="27"/>
      <c r="C602" s="15" t="str">
        <f>IF(B602="","",IFERROR(INDEX(Items!$B$5:$B$19,MATCH(B602,Items!$A$5:$A$19,0)),"Unknown code"))</f>
        <v/>
      </c>
      <c r="D602" s="29"/>
      <c r="E602" s="18" t="str">
        <f>IF(B602="","",IFERROR(INDEX(Items!$C$5:$C$19,MATCH(B602,Items!$A$5:$A$19,0)),""))</f>
        <v/>
      </c>
      <c r="F602" s="18" t="str">
        <f t="shared" si="54"/>
        <v/>
      </c>
      <c r="G602" s="27"/>
      <c r="H602" s="23" t="str">
        <f>IF(OR(A602="",B602="",D602=""),"",IFERROR(INDEX(Items!$D$5:$D$19,MATCH(B602,Items!$A$5:$A$19,0))+SUMIFS(D$4:D601,B$4:B601,B602),""))</f>
        <v/>
      </c>
      <c r="I602" s="23" t="str">
        <f t="shared" si="55"/>
        <v/>
      </c>
      <c r="J602" s="23" t="str">
        <f t="shared" si="56"/>
        <v/>
      </c>
      <c r="K602" s="18" t="str">
        <f t="shared" si="57"/>
        <v/>
      </c>
      <c r="L602" s="16" t="str">
        <f t="shared" ca="1" si="58"/>
        <v/>
      </c>
      <c r="M602" s="25" t="str">
        <f>IF(H602="","",IF(I602&lt;=0,"Shipped",IF(L602&lt;=AGE30,"Fresh",IF(L602&lt;=AGE60,"Watch",IF(L602&lt;=AGE90,"Aging","Old")))))</f>
        <v/>
      </c>
      <c r="N602" s="16" t="str">
        <f t="shared" si="59"/>
        <v/>
      </c>
    </row>
    <row r="603" spans="1:14" x14ac:dyDescent="0.2">
      <c r="A603" s="32"/>
      <c r="B603" s="27"/>
      <c r="C603" s="15" t="str">
        <f>IF(B603="","",IFERROR(INDEX(Items!$B$5:$B$19,MATCH(B603,Items!$A$5:$A$19,0)),"Unknown code"))</f>
        <v/>
      </c>
      <c r="D603" s="29"/>
      <c r="E603" s="18" t="str">
        <f>IF(B603="","",IFERROR(INDEX(Items!$C$5:$C$19,MATCH(B603,Items!$A$5:$A$19,0)),""))</f>
        <v/>
      </c>
      <c r="F603" s="18" t="str">
        <f t="shared" si="54"/>
        <v/>
      </c>
      <c r="G603" s="27"/>
      <c r="H603" s="23" t="str">
        <f>IF(OR(A603="",B603="",D603=""),"",IFERROR(INDEX(Items!$D$5:$D$19,MATCH(B603,Items!$A$5:$A$19,0))+SUMIFS(D$4:D602,B$4:B602,B603),""))</f>
        <v/>
      </c>
      <c r="I603" s="23" t="str">
        <f t="shared" si="55"/>
        <v/>
      </c>
      <c r="J603" s="23" t="str">
        <f t="shared" si="56"/>
        <v/>
      </c>
      <c r="K603" s="18" t="str">
        <f t="shared" si="57"/>
        <v/>
      </c>
      <c r="L603" s="16" t="str">
        <f t="shared" ca="1" si="58"/>
        <v/>
      </c>
      <c r="M603" s="25" t="str">
        <f>IF(H603="","",IF(I603&lt;=0,"Shipped",IF(L603&lt;=AGE30,"Fresh",IF(L603&lt;=AGE60,"Watch",IF(L603&lt;=AGE90,"Aging","Old")))))</f>
        <v/>
      </c>
      <c r="N603" s="16" t="str">
        <f t="shared" si="59"/>
        <v/>
      </c>
    </row>
    <row r="604" spans="1:14" x14ac:dyDescent="0.2">
      <c r="A604" s="32"/>
      <c r="B604" s="27"/>
      <c r="C604" s="15" t="str">
        <f>IF(B604="","",IFERROR(INDEX(Items!$B$5:$B$19,MATCH(B604,Items!$A$5:$A$19,0)),"Unknown code"))</f>
        <v/>
      </c>
      <c r="D604" s="29"/>
      <c r="E604" s="18" t="str">
        <f>IF(B604="","",IFERROR(INDEX(Items!$C$5:$C$19,MATCH(B604,Items!$A$5:$A$19,0)),""))</f>
        <v/>
      </c>
      <c r="F604" s="18" t="str">
        <f t="shared" si="54"/>
        <v/>
      </c>
      <c r="G604" s="27"/>
      <c r="H604" s="23" t="str">
        <f>IF(OR(A604="",B604="",D604=""),"",IFERROR(INDEX(Items!$D$5:$D$19,MATCH(B604,Items!$A$5:$A$19,0))+SUMIFS(D$4:D603,B$4:B603,B604),""))</f>
        <v/>
      </c>
      <c r="I604" s="23" t="str">
        <f t="shared" si="55"/>
        <v/>
      </c>
      <c r="J604" s="23" t="str">
        <f t="shared" si="56"/>
        <v/>
      </c>
      <c r="K604" s="18" t="str">
        <f t="shared" si="57"/>
        <v/>
      </c>
      <c r="L604" s="16" t="str">
        <f t="shared" ca="1" si="58"/>
        <v/>
      </c>
      <c r="M604" s="25" t="str">
        <f>IF(H604="","",IF(I604&lt;=0,"Shipped",IF(L604&lt;=AGE30,"Fresh",IF(L604&lt;=AGE60,"Watch",IF(L604&lt;=AGE90,"Aging","Old")))))</f>
        <v/>
      </c>
      <c r="N604" s="16" t="str">
        <f t="shared" si="59"/>
        <v/>
      </c>
    </row>
    <row r="605" spans="1:14" x14ac:dyDescent="0.2">
      <c r="A605" s="32"/>
      <c r="B605" s="27"/>
      <c r="C605" s="15" t="str">
        <f>IF(B605="","",IFERROR(INDEX(Items!$B$5:$B$19,MATCH(B605,Items!$A$5:$A$19,0)),"Unknown code"))</f>
        <v/>
      </c>
      <c r="D605" s="29"/>
      <c r="E605" s="18" t="str">
        <f>IF(B605="","",IFERROR(INDEX(Items!$C$5:$C$19,MATCH(B605,Items!$A$5:$A$19,0)),""))</f>
        <v/>
      </c>
      <c r="F605" s="18" t="str">
        <f t="shared" si="54"/>
        <v/>
      </c>
      <c r="G605" s="27"/>
      <c r="H605" s="23" t="str">
        <f>IF(OR(A605="",B605="",D605=""),"",IFERROR(INDEX(Items!$D$5:$D$19,MATCH(B605,Items!$A$5:$A$19,0))+SUMIFS(D$4:D604,B$4:B604,B605),""))</f>
        <v/>
      </c>
      <c r="I605" s="23" t="str">
        <f t="shared" si="55"/>
        <v/>
      </c>
      <c r="J605" s="23" t="str">
        <f t="shared" si="56"/>
        <v/>
      </c>
      <c r="K605" s="18" t="str">
        <f t="shared" si="57"/>
        <v/>
      </c>
      <c r="L605" s="16" t="str">
        <f t="shared" ca="1" si="58"/>
        <v/>
      </c>
      <c r="M605" s="25" t="str">
        <f>IF(H605="","",IF(I605&lt;=0,"Shipped",IF(L605&lt;=AGE30,"Fresh",IF(L605&lt;=AGE60,"Watch",IF(L605&lt;=AGE90,"Aging","Old")))))</f>
        <v/>
      </c>
      <c r="N605" s="16" t="str">
        <f t="shared" si="59"/>
        <v/>
      </c>
    </row>
    <row r="606" spans="1:14" x14ac:dyDescent="0.2">
      <c r="A606" s="32"/>
      <c r="B606" s="27"/>
      <c r="C606" s="15" t="str">
        <f>IF(B606="","",IFERROR(INDEX(Items!$B$5:$B$19,MATCH(B606,Items!$A$5:$A$19,0)),"Unknown code"))</f>
        <v/>
      </c>
      <c r="D606" s="29"/>
      <c r="E606" s="18" t="str">
        <f>IF(B606="","",IFERROR(INDEX(Items!$C$5:$C$19,MATCH(B606,Items!$A$5:$A$19,0)),""))</f>
        <v/>
      </c>
      <c r="F606" s="18" t="str">
        <f t="shared" si="54"/>
        <v/>
      </c>
      <c r="G606" s="27"/>
      <c r="H606" s="23" t="str">
        <f>IF(OR(A606="",B606="",D606=""),"",IFERROR(INDEX(Items!$D$5:$D$19,MATCH(B606,Items!$A$5:$A$19,0))+SUMIFS(D$4:D605,B$4:B605,B606),""))</f>
        <v/>
      </c>
      <c r="I606" s="23" t="str">
        <f t="shared" si="55"/>
        <v/>
      </c>
      <c r="J606" s="23" t="str">
        <f t="shared" si="56"/>
        <v/>
      </c>
      <c r="K606" s="18" t="str">
        <f t="shared" si="57"/>
        <v/>
      </c>
      <c r="L606" s="16" t="str">
        <f t="shared" ca="1" si="58"/>
        <v/>
      </c>
      <c r="M606" s="25" t="str">
        <f>IF(H606="","",IF(I606&lt;=0,"Shipped",IF(L606&lt;=AGE30,"Fresh",IF(L606&lt;=AGE60,"Watch",IF(L606&lt;=AGE90,"Aging","Old")))))</f>
        <v/>
      </c>
      <c r="N606" s="16" t="str">
        <f t="shared" si="59"/>
        <v/>
      </c>
    </row>
    <row r="607" spans="1:14" x14ac:dyDescent="0.2">
      <c r="A607" s="32"/>
      <c r="B607" s="27"/>
      <c r="C607" s="15" t="str">
        <f>IF(B607="","",IFERROR(INDEX(Items!$B$5:$B$19,MATCH(B607,Items!$A$5:$A$19,0)),"Unknown code"))</f>
        <v/>
      </c>
      <c r="D607" s="29"/>
      <c r="E607" s="18" t="str">
        <f>IF(B607="","",IFERROR(INDEX(Items!$C$5:$C$19,MATCH(B607,Items!$A$5:$A$19,0)),""))</f>
        <v/>
      </c>
      <c r="F607" s="18" t="str">
        <f t="shared" si="54"/>
        <v/>
      </c>
      <c r="G607" s="27"/>
      <c r="H607" s="23" t="str">
        <f>IF(OR(A607="",B607="",D607=""),"",IFERROR(INDEX(Items!$D$5:$D$19,MATCH(B607,Items!$A$5:$A$19,0))+SUMIFS(D$4:D606,B$4:B606,B607),""))</f>
        <v/>
      </c>
      <c r="I607" s="23" t="str">
        <f t="shared" si="55"/>
        <v/>
      </c>
      <c r="J607" s="23" t="str">
        <f t="shared" si="56"/>
        <v/>
      </c>
      <c r="K607" s="18" t="str">
        <f t="shared" si="57"/>
        <v/>
      </c>
      <c r="L607" s="16" t="str">
        <f t="shared" ca="1" si="58"/>
        <v/>
      </c>
      <c r="M607" s="25" t="str">
        <f>IF(H607="","",IF(I607&lt;=0,"Shipped",IF(L607&lt;=AGE30,"Fresh",IF(L607&lt;=AGE60,"Watch",IF(L607&lt;=AGE90,"Aging","Old")))))</f>
        <v/>
      </c>
      <c r="N607" s="16" t="str">
        <f t="shared" si="59"/>
        <v/>
      </c>
    </row>
    <row r="608" spans="1:14" x14ac:dyDescent="0.2">
      <c r="A608" s="32"/>
      <c r="B608" s="27"/>
      <c r="C608" s="15" t="str">
        <f>IF(B608="","",IFERROR(INDEX(Items!$B$5:$B$19,MATCH(B608,Items!$A$5:$A$19,0)),"Unknown code"))</f>
        <v/>
      </c>
      <c r="D608" s="29"/>
      <c r="E608" s="18" t="str">
        <f>IF(B608="","",IFERROR(INDEX(Items!$C$5:$C$19,MATCH(B608,Items!$A$5:$A$19,0)),""))</f>
        <v/>
      </c>
      <c r="F608" s="18" t="str">
        <f t="shared" si="54"/>
        <v/>
      </c>
      <c r="G608" s="27"/>
      <c r="H608" s="23" t="str">
        <f>IF(OR(A608="",B608="",D608=""),"",IFERROR(INDEX(Items!$D$5:$D$19,MATCH(B608,Items!$A$5:$A$19,0))+SUMIFS(D$4:D607,B$4:B607,B608),""))</f>
        <v/>
      </c>
      <c r="I608" s="23" t="str">
        <f t="shared" si="55"/>
        <v/>
      </c>
      <c r="J608" s="23" t="str">
        <f t="shared" si="56"/>
        <v/>
      </c>
      <c r="K608" s="18" t="str">
        <f t="shared" si="57"/>
        <v/>
      </c>
      <c r="L608" s="16" t="str">
        <f t="shared" ca="1" si="58"/>
        <v/>
      </c>
      <c r="M608" s="25" t="str">
        <f>IF(H608="","",IF(I608&lt;=0,"Shipped",IF(L608&lt;=AGE30,"Fresh",IF(L608&lt;=AGE60,"Watch",IF(L608&lt;=AGE90,"Aging","Old")))))</f>
        <v/>
      </c>
      <c r="N608" s="16" t="str">
        <f t="shared" si="59"/>
        <v/>
      </c>
    </row>
    <row r="609" spans="1:14" x14ac:dyDescent="0.2">
      <c r="A609" s="32"/>
      <c r="B609" s="27"/>
      <c r="C609" s="15" t="str">
        <f>IF(B609="","",IFERROR(INDEX(Items!$B$5:$B$19,MATCH(B609,Items!$A$5:$A$19,0)),"Unknown code"))</f>
        <v/>
      </c>
      <c r="D609" s="29"/>
      <c r="E609" s="18" t="str">
        <f>IF(B609="","",IFERROR(INDEX(Items!$C$5:$C$19,MATCH(B609,Items!$A$5:$A$19,0)),""))</f>
        <v/>
      </c>
      <c r="F609" s="18" t="str">
        <f t="shared" si="54"/>
        <v/>
      </c>
      <c r="G609" s="27"/>
      <c r="H609" s="23" t="str">
        <f>IF(OR(A609="",B609="",D609=""),"",IFERROR(INDEX(Items!$D$5:$D$19,MATCH(B609,Items!$A$5:$A$19,0))+SUMIFS(D$4:D608,B$4:B608,B609),""))</f>
        <v/>
      </c>
      <c r="I609" s="23" t="str">
        <f t="shared" si="55"/>
        <v/>
      </c>
      <c r="J609" s="23" t="str">
        <f t="shared" si="56"/>
        <v/>
      </c>
      <c r="K609" s="18" t="str">
        <f t="shared" si="57"/>
        <v/>
      </c>
      <c r="L609" s="16" t="str">
        <f t="shared" ca="1" si="58"/>
        <v/>
      </c>
      <c r="M609" s="25" t="str">
        <f>IF(H609="","",IF(I609&lt;=0,"Shipped",IF(L609&lt;=AGE30,"Fresh",IF(L609&lt;=AGE60,"Watch",IF(L609&lt;=AGE90,"Aging","Old")))))</f>
        <v/>
      </c>
      <c r="N609" s="16" t="str">
        <f t="shared" si="59"/>
        <v/>
      </c>
    </row>
    <row r="610" spans="1:14" x14ac:dyDescent="0.2">
      <c r="A610" s="32"/>
      <c r="B610" s="27"/>
      <c r="C610" s="15" t="str">
        <f>IF(B610="","",IFERROR(INDEX(Items!$B$5:$B$19,MATCH(B610,Items!$A$5:$A$19,0)),"Unknown code"))</f>
        <v/>
      </c>
      <c r="D610" s="29"/>
      <c r="E610" s="18" t="str">
        <f>IF(B610="","",IFERROR(INDEX(Items!$C$5:$C$19,MATCH(B610,Items!$A$5:$A$19,0)),""))</f>
        <v/>
      </c>
      <c r="F610" s="18" t="str">
        <f t="shared" si="54"/>
        <v/>
      </c>
      <c r="G610" s="27"/>
      <c r="H610" s="23" t="str">
        <f>IF(OR(A610="",B610="",D610=""),"",IFERROR(INDEX(Items!$D$5:$D$19,MATCH(B610,Items!$A$5:$A$19,0))+SUMIFS(D$4:D609,B$4:B609,B610),""))</f>
        <v/>
      </c>
      <c r="I610" s="23" t="str">
        <f t="shared" si="55"/>
        <v/>
      </c>
      <c r="J610" s="23" t="str">
        <f t="shared" si="56"/>
        <v/>
      </c>
      <c r="K610" s="18" t="str">
        <f t="shared" si="57"/>
        <v/>
      </c>
      <c r="L610" s="16" t="str">
        <f t="shared" ca="1" si="58"/>
        <v/>
      </c>
      <c r="M610" s="25" t="str">
        <f>IF(H610="","",IF(I610&lt;=0,"Shipped",IF(L610&lt;=AGE30,"Fresh",IF(L610&lt;=AGE60,"Watch",IF(L610&lt;=AGE90,"Aging","Old")))))</f>
        <v/>
      </c>
      <c r="N610" s="16" t="str">
        <f t="shared" si="59"/>
        <v/>
      </c>
    </row>
    <row r="611" spans="1:14" x14ac:dyDescent="0.2">
      <c r="A611" s="32"/>
      <c r="B611" s="27"/>
      <c r="C611" s="15" t="str">
        <f>IF(B611="","",IFERROR(INDEX(Items!$B$5:$B$19,MATCH(B611,Items!$A$5:$A$19,0)),"Unknown code"))</f>
        <v/>
      </c>
      <c r="D611" s="29"/>
      <c r="E611" s="18" t="str">
        <f>IF(B611="","",IFERROR(INDEX(Items!$C$5:$C$19,MATCH(B611,Items!$A$5:$A$19,0)),""))</f>
        <v/>
      </c>
      <c r="F611" s="18" t="str">
        <f t="shared" si="54"/>
        <v/>
      </c>
      <c r="G611" s="27"/>
      <c r="H611" s="23" t="str">
        <f>IF(OR(A611="",B611="",D611=""),"",IFERROR(INDEX(Items!$D$5:$D$19,MATCH(B611,Items!$A$5:$A$19,0))+SUMIFS(D$4:D610,B$4:B610,B611),""))</f>
        <v/>
      </c>
      <c r="I611" s="23" t="str">
        <f t="shared" si="55"/>
        <v/>
      </c>
      <c r="J611" s="23" t="str">
        <f t="shared" si="56"/>
        <v/>
      </c>
      <c r="K611" s="18" t="str">
        <f t="shared" si="57"/>
        <v/>
      </c>
      <c r="L611" s="16" t="str">
        <f t="shared" ca="1" si="58"/>
        <v/>
      </c>
      <c r="M611" s="25" t="str">
        <f>IF(H611="","",IF(I611&lt;=0,"Shipped",IF(L611&lt;=AGE30,"Fresh",IF(L611&lt;=AGE60,"Watch",IF(L611&lt;=AGE90,"Aging","Old")))))</f>
        <v/>
      </c>
      <c r="N611" s="16" t="str">
        <f t="shared" si="59"/>
        <v/>
      </c>
    </row>
    <row r="612" spans="1:14" x14ac:dyDescent="0.2">
      <c r="A612" s="32"/>
      <c r="B612" s="27"/>
      <c r="C612" s="15" t="str">
        <f>IF(B612="","",IFERROR(INDEX(Items!$B$5:$B$19,MATCH(B612,Items!$A$5:$A$19,0)),"Unknown code"))</f>
        <v/>
      </c>
      <c r="D612" s="29"/>
      <c r="E612" s="18" t="str">
        <f>IF(B612="","",IFERROR(INDEX(Items!$C$5:$C$19,MATCH(B612,Items!$A$5:$A$19,0)),""))</f>
        <v/>
      </c>
      <c r="F612" s="18" t="str">
        <f t="shared" si="54"/>
        <v/>
      </c>
      <c r="G612" s="27"/>
      <c r="H612" s="23" t="str">
        <f>IF(OR(A612="",B612="",D612=""),"",IFERROR(INDEX(Items!$D$5:$D$19,MATCH(B612,Items!$A$5:$A$19,0))+SUMIFS(D$4:D611,B$4:B611,B612),""))</f>
        <v/>
      </c>
      <c r="I612" s="23" t="str">
        <f t="shared" si="55"/>
        <v/>
      </c>
      <c r="J612" s="23" t="str">
        <f t="shared" si="56"/>
        <v/>
      </c>
      <c r="K612" s="18" t="str">
        <f t="shared" si="57"/>
        <v/>
      </c>
      <c r="L612" s="16" t="str">
        <f t="shared" ca="1" si="58"/>
        <v/>
      </c>
      <c r="M612" s="25" t="str">
        <f>IF(H612="","",IF(I612&lt;=0,"Shipped",IF(L612&lt;=AGE30,"Fresh",IF(L612&lt;=AGE60,"Watch",IF(L612&lt;=AGE90,"Aging","Old")))))</f>
        <v/>
      </c>
      <c r="N612" s="16" t="str">
        <f t="shared" si="59"/>
        <v/>
      </c>
    </row>
    <row r="613" spans="1:14" x14ac:dyDescent="0.2">
      <c r="A613" s="32"/>
      <c r="B613" s="27"/>
      <c r="C613" s="15" t="str">
        <f>IF(B613="","",IFERROR(INDEX(Items!$B$5:$B$19,MATCH(B613,Items!$A$5:$A$19,0)),"Unknown code"))</f>
        <v/>
      </c>
      <c r="D613" s="29"/>
      <c r="E613" s="18" t="str">
        <f>IF(B613="","",IFERROR(INDEX(Items!$C$5:$C$19,MATCH(B613,Items!$A$5:$A$19,0)),""))</f>
        <v/>
      </c>
      <c r="F613" s="18" t="str">
        <f t="shared" si="54"/>
        <v/>
      </c>
      <c r="G613" s="27"/>
      <c r="H613" s="23" t="str">
        <f>IF(OR(A613="",B613="",D613=""),"",IFERROR(INDEX(Items!$D$5:$D$19,MATCH(B613,Items!$A$5:$A$19,0))+SUMIFS(D$4:D612,B$4:B612,B613),""))</f>
        <v/>
      </c>
      <c r="I613" s="23" t="str">
        <f t="shared" si="55"/>
        <v/>
      </c>
      <c r="J613" s="23" t="str">
        <f t="shared" si="56"/>
        <v/>
      </c>
      <c r="K613" s="18" t="str">
        <f t="shared" si="57"/>
        <v/>
      </c>
      <c r="L613" s="16" t="str">
        <f t="shared" ca="1" si="58"/>
        <v/>
      </c>
      <c r="M613" s="25" t="str">
        <f>IF(H613="","",IF(I613&lt;=0,"Shipped",IF(L613&lt;=AGE30,"Fresh",IF(L613&lt;=AGE60,"Watch",IF(L613&lt;=AGE90,"Aging","Old")))))</f>
        <v/>
      </c>
      <c r="N613" s="16" t="str">
        <f t="shared" si="59"/>
        <v/>
      </c>
    </row>
    <row r="614" spans="1:14" x14ac:dyDescent="0.2">
      <c r="A614" s="32"/>
      <c r="B614" s="27"/>
      <c r="C614" s="15" t="str">
        <f>IF(B614="","",IFERROR(INDEX(Items!$B$5:$B$19,MATCH(B614,Items!$A$5:$A$19,0)),"Unknown code"))</f>
        <v/>
      </c>
      <c r="D614" s="29"/>
      <c r="E614" s="18" t="str">
        <f>IF(B614="","",IFERROR(INDEX(Items!$C$5:$C$19,MATCH(B614,Items!$A$5:$A$19,0)),""))</f>
        <v/>
      </c>
      <c r="F614" s="18" t="str">
        <f t="shared" si="54"/>
        <v/>
      </c>
      <c r="G614" s="27"/>
      <c r="H614" s="23" t="str">
        <f>IF(OR(A614="",B614="",D614=""),"",IFERROR(INDEX(Items!$D$5:$D$19,MATCH(B614,Items!$A$5:$A$19,0))+SUMIFS(D$4:D613,B$4:B613,B614),""))</f>
        <v/>
      </c>
      <c r="I614" s="23" t="str">
        <f t="shared" si="55"/>
        <v/>
      </c>
      <c r="J614" s="23" t="str">
        <f t="shared" si="56"/>
        <v/>
      </c>
      <c r="K614" s="18" t="str">
        <f t="shared" si="57"/>
        <v/>
      </c>
      <c r="L614" s="16" t="str">
        <f t="shared" ca="1" si="58"/>
        <v/>
      </c>
      <c r="M614" s="25" t="str">
        <f>IF(H614="","",IF(I614&lt;=0,"Shipped",IF(L614&lt;=AGE30,"Fresh",IF(L614&lt;=AGE60,"Watch",IF(L614&lt;=AGE90,"Aging","Old")))))</f>
        <v/>
      </c>
      <c r="N614" s="16" t="str">
        <f t="shared" si="59"/>
        <v/>
      </c>
    </row>
    <row r="615" spans="1:14" x14ac:dyDescent="0.2">
      <c r="A615" s="32"/>
      <c r="B615" s="27"/>
      <c r="C615" s="15" t="str">
        <f>IF(B615="","",IFERROR(INDEX(Items!$B$5:$B$19,MATCH(B615,Items!$A$5:$A$19,0)),"Unknown code"))</f>
        <v/>
      </c>
      <c r="D615" s="29"/>
      <c r="E615" s="18" t="str">
        <f>IF(B615="","",IFERROR(INDEX(Items!$C$5:$C$19,MATCH(B615,Items!$A$5:$A$19,0)),""))</f>
        <v/>
      </c>
      <c r="F615" s="18" t="str">
        <f t="shared" si="54"/>
        <v/>
      </c>
      <c r="G615" s="27"/>
      <c r="H615" s="23" t="str">
        <f>IF(OR(A615="",B615="",D615=""),"",IFERROR(INDEX(Items!$D$5:$D$19,MATCH(B615,Items!$A$5:$A$19,0))+SUMIFS(D$4:D614,B$4:B614,B615),""))</f>
        <v/>
      </c>
      <c r="I615" s="23" t="str">
        <f t="shared" si="55"/>
        <v/>
      </c>
      <c r="J615" s="23" t="str">
        <f t="shared" si="56"/>
        <v/>
      </c>
      <c r="K615" s="18" t="str">
        <f t="shared" si="57"/>
        <v/>
      </c>
      <c r="L615" s="16" t="str">
        <f t="shared" ca="1" si="58"/>
        <v/>
      </c>
      <c r="M615" s="25" t="str">
        <f>IF(H615="","",IF(I615&lt;=0,"Shipped",IF(L615&lt;=AGE30,"Fresh",IF(L615&lt;=AGE60,"Watch",IF(L615&lt;=AGE90,"Aging","Old")))))</f>
        <v/>
      </c>
      <c r="N615" s="16" t="str">
        <f t="shared" si="59"/>
        <v/>
      </c>
    </row>
    <row r="616" spans="1:14" x14ac:dyDescent="0.2">
      <c r="A616" s="32"/>
      <c r="B616" s="27"/>
      <c r="C616" s="15" t="str">
        <f>IF(B616="","",IFERROR(INDEX(Items!$B$5:$B$19,MATCH(B616,Items!$A$5:$A$19,0)),"Unknown code"))</f>
        <v/>
      </c>
      <c r="D616" s="29"/>
      <c r="E616" s="18" t="str">
        <f>IF(B616="","",IFERROR(INDEX(Items!$C$5:$C$19,MATCH(B616,Items!$A$5:$A$19,0)),""))</f>
        <v/>
      </c>
      <c r="F616" s="18" t="str">
        <f t="shared" si="54"/>
        <v/>
      </c>
      <c r="G616" s="27"/>
      <c r="H616" s="23" t="str">
        <f>IF(OR(A616="",B616="",D616=""),"",IFERROR(INDEX(Items!$D$5:$D$19,MATCH(B616,Items!$A$5:$A$19,0))+SUMIFS(D$4:D615,B$4:B615,B616),""))</f>
        <v/>
      </c>
      <c r="I616" s="23" t="str">
        <f t="shared" si="55"/>
        <v/>
      </c>
      <c r="J616" s="23" t="str">
        <f t="shared" si="56"/>
        <v/>
      </c>
      <c r="K616" s="18" t="str">
        <f t="shared" si="57"/>
        <v/>
      </c>
      <c r="L616" s="16" t="str">
        <f t="shared" ca="1" si="58"/>
        <v/>
      </c>
      <c r="M616" s="25" t="str">
        <f>IF(H616="","",IF(I616&lt;=0,"Shipped",IF(L616&lt;=AGE30,"Fresh",IF(L616&lt;=AGE60,"Watch",IF(L616&lt;=AGE90,"Aging","Old")))))</f>
        <v/>
      </c>
      <c r="N616" s="16" t="str">
        <f t="shared" si="59"/>
        <v/>
      </c>
    </row>
    <row r="617" spans="1:14" x14ac:dyDescent="0.2">
      <c r="A617" s="32"/>
      <c r="B617" s="27"/>
      <c r="C617" s="15" t="str">
        <f>IF(B617="","",IFERROR(INDEX(Items!$B$5:$B$19,MATCH(B617,Items!$A$5:$A$19,0)),"Unknown code"))</f>
        <v/>
      </c>
      <c r="D617" s="29"/>
      <c r="E617" s="18" t="str">
        <f>IF(B617="","",IFERROR(INDEX(Items!$C$5:$C$19,MATCH(B617,Items!$A$5:$A$19,0)),""))</f>
        <v/>
      </c>
      <c r="F617" s="18" t="str">
        <f t="shared" si="54"/>
        <v/>
      </c>
      <c r="G617" s="27"/>
      <c r="H617" s="23" t="str">
        <f>IF(OR(A617="",B617="",D617=""),"",IFERROR(INDEX(Items!$D$5:$D$19,MATCH(B617,Items!$A$5:$A$19,0))+SUMIFS(D$4:D616,B$4:B616,B617),""))</f>
        <v/>
      </c>
      <c r="I617" s="23" t="str">
        <f t="shared" si="55"/>
        <v/>
      </c>
      <c r="J617" s="23" t="str">
        <f t="shared" si="56"/>
        <v/>
      </c>
      <c r="K617" s="18" t="str">
        <f t="shared" si="57"/>
        <v/>
      </c>
      <c r="L617" s="16" t="str">
        <f t="shared" ca="1" si="58"/>
        <v/>
      </c>
      <c r="M617" s="25" t="str">
        <f>IF(H617="","",IF(I617&lt;=0,"Shipped",IF(L617&lt;=AGE30,"Fresh",IF(L617&lt;=AGE60,"Watch",IF(L617&lt;=AGE90,"Aging","Old")))))</f>
        <v/>
      </c>
      <c r="N617" s="16" t="str">
        <f t="shared" si="59"/>
        <v/>
      </c>
    </row>
    <row r="618" spans="1:14" x14ac:dyDescent="0.2">
      <c r="A618" s="32"/>
      <c r="B618" s="27"/>
      <c r="C618" s="15" t="str">
        <f>IF(B618="","",IFERROR(INDEX(Items!$B$5:$B$19,MATCH(B618,Items!$A$5:$A$19,0)),"Unknown code"))</f>
        <v/>
      </c>
      <c r="D618" s="29"/>
      <c r="E618" s="18" t="str">
        <f>IF(B618="","",IFERROR(INDEX(Items!$C$5:$C$19,MATCH(B618,Items!$A$5:$A$19,0)),""))</f>
        <v/>
      </c>
      <c r="F618" s="18" t="str">
        <f t="shared" si="54"/>
        <v/>
      </c>
      <c r="G618" s="27"/>
      <c r="H618" s="23" t="str">
        <f>IF(OR(A618="",B618="",D618=""),"",IFERROR(INDEX(Items!$D$5:$D$19,MATCH(B618,Items!$A$5:$A$19,0))+SUMIFS(D$4:D617,B$4:B617,B618),""))</f>
        <v/>
      </c>
      <c r="I618" s="23" t="str">
        <f t="shared" si="55"/>
        <v/>
      </c>
      <c r="J618" s="23" t="str">
        <f t="shared" si="56"/>
        <v/>
      </c>
      <c r="K618" s="18" t="str">
        <f t="shared" si="57"/>
        <v/>
      </c>
      <c r="L618" s="16" t="str">
        <f t="shared" ca="1" si="58"/>
        <v/>
      </c>
      <c r="M618" s="25" t="str">
        <f>IF(H618="","",IF(I618&lt;=0,"Shipped",IF(L618&lt;=AGE30,"Fresh",IF(L618&lt;=AGE60,"Watch",IF(L618&lt;=AGE90,"Aging","Old")))))</f>
        <v/>
      </c>
      <c r="N618" s="16" t="str">
        <f t="shared" si="59"/>
        <v/>
      </c>
    </row>
    <row r="619" spans="1:14" x14ac:dyDescent="0.2">
      <c r="A619" s="32"/>
      <c r="B619" s="27"/>
      <c r="C619" s="15" t="str">
        <f>IF(B619="","",IFERROR(INDEX(Items!$B$5:$B$19,MATCH(B619,Items!$A$5:$A$19,0)),"Unknown code"))</f>
        <v/>
      </c>
      <c r="D619" s="29"/>
      <c r="E619" s="18" t="str">
        <f>IF(B619="","",IFERROR(INDEX(Items!$C$5:$C$19,MATCH(B619,Items!$A$5:$A$19,0)),""))</f>
        <v/>
      </c>
      <c r="F619" s="18" t="str">
        <f t="shared" si="54"/>
        <v/>
      </c>
      <c r="G619" s="27"/>
      <c r="H619" s="23" t="str">
        <f>IF(OR(A619="",B619="",D619=""),"",IFERROR(INDEX(Items!$D$5:$D$19,MATCH(B619,Items!$A$5:$A$19,0))+SUMIFS(D$4:D618,B$4:B618,B619),""))</f>
        <v/>
      </c>
      <c r="I619" s="23" t="str">
        <f t="shared" si="55"/>
        <v/>
      </c>
      <c r="J619" s="23" t="str">
        <f t="shared" si="56"/>
        <v/>
      </c>
      <c r="K619" s="18" t="str">
        <f t="shared" si="57"/>
        <v/>
      </c>
      <c r="L619" s="16" t="str">
        <f t="shared" ca="1" si="58"/>
        <v/>
      </c>
      <c r="M619" s="25" t="str">
        <f>IF(H619="","",IF(I619&lt;=0,"Shipped",IF(L619&lt;=AGE30,"Fresh",IF(L619&lt;=AGE60,"Watch",IF(L619&lt;=AGE90,"Aging","Old")))))</f>
        <v/>
      </c>
      <c r="N619" s="16" t="str">
        <f t="shared" si="59"/>
        <v/>
      </c>
    </row>
    <row r="620" spans="1:14" x14ac:dyDescent="0.2">
      <c r="A620" s="32"/>
      <c r="B620" s="27"/>
      <c r="C620" s="15" t="str">
        <f>IF(B620="","",IFERROR(INDEX(Items!$B$5:$B$19,MATCH(B620,Items!$A$5:$A$19,0)),"Unknown code"))</f>
        <v/>
      </c>
      <c r="D620" s="29"/>
      <c r="E620" s="18" t="str">
        <f>IF(B620="","",IFERROR(INDEX(Items!$C$5:$C$19,MATCH(B620,Items!$A$5:$A$19,0)),""))</f>
        <v/>
      </c>
      <c r="F620" s="18" t="str">
        <f t="shared" si="54"/>
        <v/>
      </c>
      <c r="G620" s="27"/>
      <c r="H620" s="23" t="str">
        <f>IF(OR(A620="",B620="",D620=""),"",IFERROR(INDEX(Items!$D$5:$D$19,MATCH(B620,Items!$A$5:$A$19,0))+SUMIFS(D$4:D619,B$4:B619,B620),""))</f>
        <v/>
      </c>
      <c r="I620" s="23" t="str">
        <f t="shared" si="55"/>
        <v/>
      </c>
      <c r="J620" s="23" t="str">
        <f t="shared" si="56"/>
        <v/>
      </c>
      <c r="K620" s="18" t="str">
        <f t="shared" si="57"/>
        <v/>
      </c>
      <c r="L620" s="16" t="str">
        <f t="shared" ca="1" si="58"/>
        <v/>
      </c>
      <c r="M620" s="25" t="str">
        <f>IF(H620="","",IF(I620&lt;=0,"Shipped",IF(L620&lt;=AGE30,"Fresh",IF(L620&lt;=AGE60,"Watch",IF(L620&lt;=AGE90,"Aging","Old")))))</f>
        <v/>
      </c>
      <c r="N620" s="16" t="str">
        <f t="shared" si="59"/>
        <v/>
      </c>
    </row>
    <row r="621" spans="1:14" x14ac:dyDescent="0.2">
      <c r="A621" s="32"/>
      <c r="B621" s="27"/>
      <c r="C621" s="15" t="str">
        <f>IF(B621="","",IFERROR(INDEX(Items!$B$5:$B$19,MATCH(B621,Items!$A$5:$A$19,0)),"Unknown code"))</f>
        <v/>
      </c>
      <c r="D621" s="29"/>
      <c r="E621" s="18" t="str">
        <f>IF(B621="","",IFERROR(INDEX(Items!$C$5:$C$19,MATCH(B621,Items!$A$5:$A$19,0)),""))</f>
        <v/>
      </c>
      <c r="F621" s="18" t="str">
        <f t="shared" si="54"/>
        <v/>
      </c>
      <c r="G621" s="27"/>
      <c r="H621" s="23" t="str">
        <f>IF(OR(A621="",B621="",D621=""),"",IFERROR(INDEX(Items!$D$5:$D$19,MATCH(B621,Items!$A$5:$A$19,0))+SUMIFS(D$4:D620,B$4:B620,B621),""))</f>
        <v/>
      </c>
      <c r="I621" s="23" t="str">
        <f t="shared" si="55"/>
        <v/>
      </c>
      <c r="J621" s="23" t="str">
        <f t="shared" si="56"/>
        <v/>
      </c>
      <c r="K621" s="18" t="str">
        <f t="shared" si="57"/>
        <v/>
      </c>
      <c r="L621" s="16" t="str">
        <f t="shared" ca="1" si="58"/>
        <v/>
      </c>
      <c r="M621" s="25" t="str">
        <f>IF(H621="","",IF(I621&lt;=0,"Shipped",IF(L621&lt;=AGE30,"Fresh",IF(L621&lt;=AGE60,"Watch",IF(L621&lt;=AGE90,"Aging","Old")))))</f>
        <v/>
      </c>
      <c r="N621" s="16" t="str">
        <f t="shared" si="59"/>
        <v/>
      </c>
    </row>
    <row r="622" spans="1:14" x14ac:dyDescent="0.2">
      <c r="A622" s="32"/>
      <c r="B622" s="27"/>
      <c r="C622" s="15" t="str">
        <f>IF(B622="","",IFERROR(INDEX(Items!$B$5:$B$19,MATCH(B622,Items!$A$5:$A$19,0)),"Unknown code"))</f>
        <v/>
      </c>
      <c r="D622" s="29"/>
      <c r="E622" s="18" t="str">
        <f>IF(B622="","",IFERROR(INDEX(Items!$C$5:$C$19,MATCH(B622,Items!$A$5:$A$19,0)),""))</f>
        <v/>
      </c>
      <c r="F622" s="18" t="str">
        <f t="shared" si="54"/>
        <v/>
      </c>
      <c r="G622" s="27"/>
      <c r="H622" s="23" t="str">
        <f>IF(OR(A622="",B622="",D622=""),"",IFERROR(INDEX(Items!$D$5:$D$19,MATCH(B622,Items!$A$5:$A$19,0))+SUMIFS(D$4:D621,B$4:B621,B622),""))</f>
        <v/>
      </c>
      <c r="I622" s="23" t="str">
        <f t="shared" si="55"/>
        <v/>
      </c>
      <c r="J622" s="23" t="str">
        <f t="shared" si="56"/>
        <v/>
      </c>
      <c r="K622" s="18" t="str">
        <f t="shared" si="57"/>
        <v/>
      </c>
      <c r="L622" s="16" t="str">
        <f t="shared" ca="1" si="58"/>
        <v/>
      </c>
      <c r="M622" s="25" t="str">
        <f>IF(H622="","",IF(I622&lt;=0,"Shipped",IF(L622&lt;=AGE30,"Fresh",IF(L622&lt;=AGE60,"Watch",IF(L622&lt;=AGE90,"Aging","Old")))))</f>
        <v/>
      </c>
      <c r="N622" s="16" t="str">
        <f t="shared" si="59"/>
        <v/>
      </c>
    </row>
    <row r="623" spans="1:14" x14ac:dyDescent="0.2">
      <c r="A623" s="32"/>
      <c r="B623" s="27"/>
      <c r="C623" s="15" t="str">
        <f>IF(B623="","",IFERROR(INDEX(Items!$B$5:$B$19,MATCH(B623,Items!$A$5:$A$19,0)),"Unknown code"))</f>
        <v/>
      </c>
      <c r="D623" s="29"/>
      <c r="E623" s="18" t="str">
        <f>IF(B623="","",IFERROR(INDEX(Items!$C$5:$C$19,MATCH(B623,Items!$A$5:$A$19,0)),""))</f>
        <v/>
      </c>
      <c r="F623" s="18" t="str">
        <f t="shared" si="54"/>
        <v/>
      </c>
      <c r="G623" s="27"/>
      <c r="H623" s="23" t="str">
        <f>IF(OR(A623="",B623="",D623=""),"",IFERROR(INDEX(Items!$D$5:$D$19,MATCH(B623,Items!$A$5:$A$19,0))+SUMIFS(D$4:D622,B$4:B622,B623),""))</f>
        <v/>
      </c>
      <c r="I623" s="23" t="str">
        <f t="shared" si="55"/>
        <v/>
      </c>
      <c r="J623" s="23" t="str">
        <f t="shared" si="56"/>
        <v/>
      </c>
      <c r="K623" s="18" t="str">
        <f t="shared" si="57"/>
        <v/>
      </c>
      <c r="L623" s="16" t="str">
        <f t="shared" ca="1" si="58"/>
        <v/>
      </c>
      <c r="M623" s="25" t="str">
        <f>IF(H623="","",IF(I623&lt;=0,"Shipped",IF(L623&lt;=AGE30,"Fresh",IF(L623&lt;=AGE60,"Watch",IF(L623&lt;=AGE90,"Aging","Old")))))</f>
        <v/>
      </c>
      <c r="N623" s="16" t="str">
        <f t="shared" si="59"/>
        <v/>
      </c>
    </row>
    <row r="624" spans="1:14" x14ac:dyDescent="0.2">
      <c r="A624" s="32"/>
      <c r="B624" s="27"/>
      <c r="C624" s="15" t="str">
        <f>IF(B624="","",IFERROR(INDEX(Items!$B$5:$B$19,MATCH(B624,Items!$A$5:$A$19,0)),"Unknown code"))</f>
        <v/>
      </c>
      <c r="D624" s="29"/>
      <c r="E624" s="18" t="str">
        <f>IF(B624="","",IFERROR(INDEX(Items!$C$5:$C$19,MATCH(B624,Items!$A$5:$A$19,0)),""))</f>
        <v/>
      </c>
      <c r="F624" s="18" t="str">
        <f t="shared" si="54"/>
        <v/>
      </c>
      <c r="G624" s="27"/>
      <c r="H624" s="23" t="str">
        <f>IF(OR(A624="",B624="",D624=""),"",IFERROR(INDEX(Items!$D$5:$D$19,MATCH(B624,Items!$A$5:$A$19,0))+SUMIFS(D$4:D623,B$4:B623,B624),""))</f>
        <v/>
      </c>
      <c r="I624" s="23" t="str">
        <f t="shared" si="55"/>
        <v/>
      </c>
      <c r="J624" s="23" t="str">
        <f t="shared" si="56"/>
        <v/>
      </c>
      <c r="K624" s="18" t="str">
        <f t="shared" si="57"/>
        <v/>
      </c>
      <c r="L624" s="16" t="str">
        <f t="shared" ca="1" si="58"/>
        <v/>
      </c>
      <c r="M624" s="25" t="str">
        <f>IF(H624="","",IF(I624&lt;=0,"Shipped",IF(L624&lt;=AGE30,"Fresh",IF(L624&lt;=AGE60,"Watch",IF(L624&lt;=AGE90,"Aging","Old")))))</f>
        <v/>
      </c>
      <c r="N624" s="16" t="str">
        <f t="shared" si="59"/>
        <v/>
      </c>
    </row>
    <row r="625" spans="1:14" x14ac:dyDescent="0.2">
      <c r="A625" s="32"/>
      <c r="B625" s="27"/>
      <c r="C625" s="15" t="str">
        <f>IF(B625="","",IFERROR(INDEX(Items!$B$5:$B$19,MATCH(B625,Items!$A$5:$A$19,0)),"Unknown code"))</f>
        <v/>
      </c>
      <c r="D625" s="29"/>
      <c r="E625" s="18" t="str">
        <f>IF(B625="","",IFERROR(INDEX(Items!$C$5:$C$19,MATCH(B625,Items!$A$5:$A$19,0)),""))</f>
        <v/>
      </c>
      <c r="F625" s="18" t="str">
        <f t="shared" si="54"/>
        <v/>
      </c>
      <c r="G625" s="27"/>
      <c r="H625" s="23" t="str">
        <f>IF(OR(A625="",B625="",D625=""),"",IFERROR(INDEX(Items!$D$5:$D$19,MATCH(B625,Items!$A$5:$A$19,0))+SUMIFS(D$4:D624,B$4:B624,B625),""))</f>
        <v/>
      </c>
      <c r="I625" s="23" t="str">
        <f t="shared" si="55"/>
        <v/>
      </c>
      <c r="J625" s="23" t="str">
        <f t="shared" si="56"/>
        <v/>
      </c>
      <c r="K625" s="18" t="str">
        <f t="shared" si="57"/>
        <v/>
      </c>
      <c r="L625" s="16" t="str">
        <f t="shared" ca="1" si="58"/>
        <v/>
      </c>
      <c r="M625" s="25" t="str">
        <f>IF(H625="","",IF(I625&lt;=0,"Shipped",IF(L625&lt;=AGE30,"Fresh",IF(L625&lt;=AGE60,"Watch",IF(L625&lt;=AGE90,"Aging","Old")))))</f>
        <v/>
      </c>
      <c r="N625" s="16" t="str">
        <f t="shared" si="59"/>
        <v/>
      </c>
    </row>
    <row r="626" spans="1:14" x14ac:dyDescent="0.2">
      <c r="A626" s="32"/>
      <c r="B626" s="27"/>
      <c r="C626" s="15" t="str">
        <f>IF(B626="","",IFERROR(INDEX(Items!$B$5:$B$19,MATCH(B626,Items!$A$5:$A$19,0)),"Unknown code"))</f>
        <v/>
      </c>
      <c r="D626" s="29"/>
      <c r="E626" s="18" t="str">
        <f>IF(B626="","",IFERROR(INDEX(Items!$C$5:$C$19,MATCH(B626,Items!$A$5:$A$19,0)),""))</f>
        <v/>
      </c>
      <c r="F626" s="18" t="str">
        <f t="shared" si="54"/>
        <v/>
      </c>
      <c r="G626" s="27"/>
      <c r="H626" s="23" t="str">
        <f>IF(OR(A626="",B626="",D626=""),"",IFERROR(INDEX(Items!$D$5:$D$19,MATCH(B626,Items!$A$5:$A$19,0))+SUMIFS(D$4:D625,B$4:B625,B626),""))</f>
        <v/>
      </c>
      <c r="I626" s="23" t="str">
        <f t="shared" si="55"/>
        <v/>
      </c>
      <c r="J626" s="23" t="str">
        <f t="shared" si="56"/>
        <v/>
      </c>
      <c r="K626" s="18" t="str">
        <f t="shared" si="57"/>
        <v/>
      </c>
      <c r="L626" s="16" t="str">
        <f t="shared" ca="1" si="58"/>
        <v/>
      </c>
      <c r="M626" s="25" t="str">
        <f>IF(H626="","",IF(I626&lt;=0,"Shipped",IF(L626&lt;=AGE30,"Fresh",IF(L626&lt;=AGE60,"Watch",IF(L626&lt;=AGE90,"Aging","Old")))))</f>
        <v/>
      </c>
      <c r="N626" s="16" t="str">
        <f t="shared" si="59"/>
        <v/>
      </c>
    </row>
    <row r="627" spans="1:14" x14ac:dyDescent="0.2">
      <c r="A627" s="32"/>
      <c r="B627" s="27"/>
      <c r="C627" s="15" t="str">
        <f>IF(B627="","",IFERROR(INDEX(Items!$B$5:$B$19,MATCH(B627,Items!$A$5:$A$19,0)),"Unknown code"))</f>
        <v/>
      </c>
      <c r="D627" s="29"/>
      <c r="E627" s="18" t="str">
        <f>IF(B627="","",IFERROR(INDEX(Items!$C$5:$C$19,MATCH(B627,Items!$A$5:$A$19,0)),""))</f>
        <v/>
      </c>
      <c r="F627" s="18" t="str">
        <f t="shared" si="54"/>
        <v/>
      </c>
      <c r="G627" s="27"/>
      <c r="H627" s="23" t="str">
        <f>IF(OR(A627="",B627="",D627=""),"",IFERROR(INDEX(Items!$D$5:$D$19,MATCH(B627,Items!$A$5:$A$19,0))+SUMIFS(D$4:D626,B$4:B626,B627),""))</f>
        <v/>
      </c>
      <c r="I627" s="23" t="str">
        <f t="shared" si="55"/>
        <v/>
      </c>
      <c r="J627" s="23" t="str">
        <f t="shared" si="56"/>
        <v/>
      </c>
      <c r="K627" s="18" t="str">
        <f t="shared" si="57"/>
        <v/>
      </c>
      <c r="L627" s="16" t="str">
        <f t="shared" ca="1" si="58"/>
        <v/>
      </c>
      <c r="M627" s="25" t="str">
        <f>IF(H627="","",IF(I627&lt;=0,"Shipped",IF(L627&lt;=AGE30,"Fresh",IF(L627&lt;=AGE60,"Watch",IF(L627&lt;=AGE90,"Aging","Old")))))</f>
        <v/>
      </c>
      <c r="N627" s="16" t="str">
        <f t="shared" si="59"/>
        <v/>
      </c>
    </row>
    <row r="628" spans="1:14" x14ac:dyDescent="0.2">
      <c r="A628" s="32"/>
      <c r="B628" s="27"/>
      <c r="C628" s="15" t="str">
        <f>IF(B628="","",IFERROR(INDEX(Items!$B$5:$B$19,MATCH(B628,Items!$A$5:$A$19,0)),"Unknown code"))</f>
        <v/>
      </c>
      <c r="D628" s="29"/>
      <c r="E628" s="18" t="str">
        <f>IF(B628="","",IFERROR(INDEX(Items!$C$5:$C$19,MATCH(B628,Items!$A$5:$A$19,0)),""))</f>
        <v/>
      </c>
      <c r="F628" s="18" t="str">
        <f t="shared" si="54"/>
        <v/>
      </c>
      <c r="G628" s="27"/>
      <c r="H628" s="23" t="str">
        <f>IF(OR(A628="",B628="",D628=""),"",IFERROR(INDEX(Items!$D$5:$D$19,MATCH(B628,Items!$A$5:$A$19,0))+SUMIFS(D$4:D627,B$4:B627,B628),""))</f>
        <v/>
      </c>
      <c r="I628" s="23" t="str">
        <f t="shared" si="55"/>
        <v/>
      </c>
      <c r="J628" s="23" t="str">
        <f t="shared" si="56"/>
        <v/>
      </c>
      <c r="K628" s="18" t="str">
        <f t="shared" si="57"/>
        <v/>
      </c>
      <c r="L628" s="16" t="str">
        <f t="shared" ca="1" si="58"/>
        <v/>
      </c>
      <c r="M628" s="25" t="str">
        <f>IF(H628="","",IF(I628&lt;=0,"Shipped",IF(L628&lt;=AGE30,"Fresh",IF(L628&lt;=AGE60,"Watch",IF(L628&lt;=AGE90,"Aging","Old")))))</f>
        <v/>
      </c>
      <c r="N628" s="16" t="str">
        <f t="shared" si="59"/>
        <v/>
      </c>
    </row>
    <row r="629" spans="1:14" x14ac:dyDescent="0.2">
      <c r="A629" s="32"/>
      <c r="B629" s="27"/>
      <c r="C629" s="15" t="str">
        <f>IF(B629="","",IFERROR(INDEX(Items!$B$5:$B$19,MATCH(B629,Items!$A$5:$A$19,0)),"Unknown code"))</f>
        <v/>
      </c>
      <c r="D629" s="29"/>
      <c r="E629" s="18" t="str">
        <f>IF(B629="","",IFERROR(INDEX(Items!$C$5:$C$19,MATCH(B629,Items!$A$5:$A$19,0)),""))</f>
        <v/>
      </c>
      <c r="F629" s="18" t="str">
        <f t="shared" si="54"/>
        <v/>
      </c>
      <c r="G629" s="27"/>
      <c r="H629" s="23" t="str">
        <f>IF(OR(A629="",B629="",D629=""),"",IFERROR(INDEX(Items!$D$5:$D$19,MATCH(B629,Items!$A$5:$A$19,0))+SUMIFS(D$4:D628,B$4:B628,B629),""))</f>
        <v/>
      </c>
      <c r="I629" s="23" t="str">
        <f t="shared" si="55"/>
        <v/>
      </c>
      <c r="J629" s="23" t="str">
        <f t="shared" si="56"/>
        <v/>
      </c>
      <c r="K629" s="18" t="str">
        <f t="shared" si="57"/>
        <v/>
      </c>
      <c r="L629" s="16" t="str">
        <f t="shared" ca="1" si="58"/>
        <v/>
      </c>
      <c r="M629" s="25" t="str">
        <f>IF(H629="","",IF(I629&lt;=0,"Shipped",IF(L629&lt;=AGE30,"Fresh",IF(L629&lt;=AGE60,"Watch",IF(L629&lt;=AGE90,"Aging","Old")))))</f>
        <v/>
      </c>
      <c r="N629" s="16" t="str">
        <f t="shared" si="59"/>
        <v/>
      </c>
    </row>
    <row r="630" spans="1:14" x14ac:dyDescent="0.2">
      <c r="A630" s="32"/>
      <c r="B630" s="27"/>
      <c r="C630" s="15" t="str">
        <f>IF(B630="","",IFERROR(INDEX(Items!$B$5:$B$19,MATCH(B630,Items!$A$5:$A$19,0)),"Unknown code"))</f>
        <v/>
      </c>
      <c r="D630" s="29"/>
      <c r="E630" s="18" t="str">
        <f>IF(B630="","",IFERROR(INDEX(Items!$C$5:$C$19,MATCH(B630,Items!$A$5:$A$19,0)),""))</f>
        <v/>
      </c>
      <c r="F630" s="18" t="str">
        <f t="shared" si="54"/>
        <v/>
      </c>
      <c r="G630" s="27"/>
      <c r="H630" s="23" t="str">
        <f>IF(OR(A630="",B630="",D630=""),"",IFERROR(INDEX(Items!$D$5:$D$19,MATCH(B630,Items!$A$5:$A$19,0))+SUMIFS(D$4:D629,B$4:B629,B630),""))</f>
        <v/>
      </c>
      <c r="I630" s="23" t="str">
        <f t="shared" si="55"/>
        <v/>
      </c>
      <c r="J630" s="23" t="str">
        <f t="shared" si="56"/>
        <v/>
      </c>
      <c r="K630" s="18" t="str">
        <f t="shared" si="57"/>
        <v/>
      </c>
      <c r="L630" s="16" t="str">
        <f t="shared" ca="1" si="58"/>
        <v/>
      </c>
      <c r="M630" s="25" t="str">
        <f>IF(H630="","",IF(I630&lt;=0,"Shipped",IF(L630&lt;=AGE30,"Fresh",IF(L630&lt;=AGE60,"Watch",IF(L630&lt;=AGE90,"Aging","Old")))))</f>
        <v/>
      </c>
      <c r="N630" s="16" t="str">
        <f t="shared" si="59"/>
        <v/>
      </c>
    </row>
    <row r="631" spans="1:14" x14ac:dyDescent="0.2">
      <c r="A631" s="32"/>
      <c r="B631" s="27"/>
      <c r="C631" s="15" t="str">
        <f>IF(B631="","",IFERROR(INDEX(Items!$B$5:$B$19,MATCH(B631,Items!$A$5:$A$19,0)),"Unknown code"))</f>
        <v/>
      </c>
      <c r="D631" s="29"/>
      <c r="E631" s="18" t="str">
        <f>IF(B631="","",IFERROR(INDEX(Items!$C$5:$C$19,MATCH(B631,Items!$A$5:$A$19,0)),""))</f>
        <v/>
      </c>
      <c r="F631" s="18" t="str">
        <f t="shared" si="54"/>
        <v/>
      </c>
      <c r="G631" s="27"/>
      <c r="H631" s="23" t="str">
        <f>IF(OR(A631="",B631="",D631=""),"",IFERROR(INDEX(Items!$D$5:$D$19,MATCH(B631,Items!$A$5:$A$19,0))+SUMIFS(D$4:D630,B$4:B630,B631),""))</f>
        <v/>
      </c>
      <c r="I631" s="23" t="str">
        <f t="shared" si="55"/>
        <v/>
      </c>
      <c r="J631" s="23" t="str">
        <f t="shared" si="56"/>
        <v/>
      </c>
      <c r="K631" s="18" t="str">
        <f t="shared" si="57"/>
        <v/>
      </c>
      <c r="L631" s="16" t="str">
        <f t="shared" ca="1" si="58"/>
        <v/>
      </c>
      <c r="M631" s="25" t="str">
        <f>IF(H631="","",IF(I631&lt;=0,"Shipped",IF(L631&lt;=AGE30,"Fresh",IF(L631&lt;=AGE60,"Watch",IF(L631&lt;=AGE90,"Aging","Old")))))</f>
        <v/>
      </c>
      <c r="N631" s="16" t="str">
        <f t="shared" si="59"/>
        <v/>
      </c>
    </row>
    <row r="632" spans="1:14" x14ac:dyDescent="0.2">
      <c r="A632" s="32"/>
      <c r="B632" s="27"/>
      <c r="C632" s="15" t="str">
        <f>IF(B632="","",IFERROR(INDEX(Items!$B$5:$B$19,MATCH(B632,Items!$A$5:$A$19,0)),"Unknown code"))</f>
        <v/>
      </c>
      <c r="D632" s="29"/>
      <c r="E632" s="18" t="str">
        <f>IF(B632="","",IFERROR(INDEX(Items!$C$5:$C$19,MATCH(B632,Items!$A$5:$A$19,0)),""))</f>
        <v/>
      </c>
      <c r="F632" s="18" t="str">
        <f t="shared" si="54"/>
        <v/>
      </c>
      <c r="G632" s="27"/>
      <c r="H632" s="23" t="str">
        <f>IF(OR(A632="",B632="",D632=""),"",IFERROR(INDEX(Items!$D$5:$D$19,MATCH(B632,Items!$A$5:$A$19,0))+SUMIFS(D$4:D631,B$4:B631,B632),""))</f>
        <v/>
      </c>
      <c r="I632" s="23" t="str">
        <f t="shared" si="55"/>
        <v/>
      </c>
      <c r="J632" s="23" t="str">
        <f t="shared" si="56"/>
        <v/>
      </c>
      <c r="K632" s="18" t="str">
        <f t="shared" si="57"/>
        <v/>
      </c>
      <c r="L632" s="16" t="str">
        <f t="shared" ca="1" si="58"/>
        <v/>
      </c>
      <c r="M632" s="25" t="str">
        <f>IF(H632="","",IF(I632&lt;=0,"Shipped",IF(L632&lt;=AGE30,"Fresh",IF(L632&lt;=AGE60,"Watch",IF(L632&lt;=AGE90,"Aging","Old")))))</f>
        <v/>
      </c>
      <c r="N632" s="16" t="str">
        <f t="shared" si="59"/>
        <v/>
      </c>
    </row>
    <row r="633" spans="1:14" x14ac:dyDescent="0.2">
      <c r="A633" s="32"/>
      <c r="B633" s="27"/>
      <c r="C633" s="15" t="str">
        <f>IF(B633="","",IFERROR(INDEX(Items!$B$5:$B$19,MATCH(B633,Items!$A$5:$A$19,0)),"Unknown code"))</f>
        <v/>
      </c>
      <c r="D633" s="29"/>
      <c r="E633" s="18" t="str">
        <f>IF(B633="","",IFERROR(INDEX(Items!$C$5:$C$19,MATCH(B633,Items!$A$5:$A$19,0)),""))</f>
        <v/>
      </c>
      <c r="F633" s="18" t="str">
        <f t="shared" si="54"/>
        <v/>
      </c>
      <c r="G633" s="27"/>
      <c r="H633" s="23" t="str">
        <f>IF(OR(A633="",B633="",D633=""),"",IFERROR(INDEX(Items!$D$5:$D$19,MATCH(B633,Items!$A$5:$A$19,0))+SUMIFS(D$4:D632,B$4:B632,B633),""))</f>
        <v/>
      </c>
      <c r="I633" s="23" t="str">
        <f t="shared" si="55"/>
        <v/>
      </c>
      <c r="J633" s="23" t="str">
        <f t="shared" si="56"/>
        <v/>
      </c>
      <c r="K633" s="18" t="str">
        <f t="shared" si="57"/>
        <v/>
      </c>
      <c r="L633" s="16" t="str">
        <f t="shared" ca="1" si="58"/>
        <v/>
      </c>
      <c r="M633" s="25" t="str">
        <f>IF(H633="","",IF(I633&lt;=0,"Shipped",IF(L633&lt;=AGE30,"Fresh",IF(L633&lt;=AGE60,"Watch",IF(L633&lt;=AGE90,"Aging","Old")))))</f>
        <v/>
      </c>
      <c r="N633" s="16" t="str">
        <f t="shared" si="59"/>
        <v/>
      </c>
    </row>
    <row r="634" spans="1:14" x14ac:dyDescent="0.2">
      <c r="A634" s="32"/>
      <c r="B634" s="27"/>
      <c r="C634" s="15" t="str">
        <f>IF(B634="","",IFERROR(INDEX(Items!$B$5:$B$19,MATCH(B634,Items!$A$5:$A$19,0)),"Unknown code"))</f>
        <v/>
      </c>
      <c r="D634" s="29"/>
      <c r="E634" s="18" t="str">
        <f>IF(B634="","",IFERROR(INDEX(Items!$C$5:$C$19,MATCH(B634,Items!$A$5:$A$19,0)),""))</f>
        <v/>
      </c>
      <c r="F634" s="18" t="str">
        <f t="shared" si="54"/>
        <v/>
      </c>
      <c r="G634" s="27"/>
      <c r="H634" s="23" t="str">
        <f>IF(OR(A634="",B634="",D634=""),"",IFERROR(INDEX(Items!$D$5:$D$19,MATCH(B634,Items!$A$5:$A$19,0))+SUMIFS(D$4:D633,B$4:B633,B634),""))</f>
        <v/>
      </c>
      <c r="I634" s="23" t="str">
        <f t="shared" si="55"/>
        <v/>
      </c>
      <c r="J634" s="23" t="str">
        <f t="shared" si="56"/>
        <v/>
      </c>
      <c r="K634" s="18" t="str">
        <f t="shared" si="57"/>
        <v/>
      </c>
      <c r="L634" s="16" t="str">
        <f t="shared" ca="1" si="58"/>
        <v/>
      </c>
      <c r="M634" s="25" t="str">
        <f>IF(H634="","",IF(I634&lt;=0,"Shipped",IF(L634&lt;=AGE30,"Fresh",IF(L634&lt;=AGE60,"Watch",IF(L634&lt;=AGE90,"Aging","Old")))))</f>
        <v/>
      </c>
      <c r="N634" s="16" t="str">
        <f t="shared" si="59"/>
        <v/>
      </c>
    </row>
    <row r="635" spans="1:14" x14ac:dyDescent="0.2">
      <c r="A635" s="32"/>
      <c r="B635" s="27"/>
      <c r="C635" s="15" t="str">
        <f>IF(B635="","",IFERROR(INDEX(Items!$B$5:$B$19,MATCH(B635,Items!$A$5:$A$19,0)),"Unknown code"))</f>
        <v/>
      </c>
      <c r="D635" s="29"/>
      <c r="E635" s="18" t="str">
        <f>IF(B635="","",IFERROR(INDEX(Items!$C$5:$C$19,MATCH(B635,Items!$A$5:$A$19,0)),""))</f>
        <v/>
      </c>
      <c r="F635" s="18" t="str">
        <f t="shared" si="54"/>
        <v/>
      </c>
      <c r="G635" s="27"/>
      <c r="H635" s="23" t="str">
        <f>IF(OR(A635="",B635="",D635=""),"",IFERROR(INDEX(Items!$D$5:$D$19,MATCH(B635,Items!$A$5:$A$19,0))+SUMIFS(D$4:D634,B$4:B634,B635),""))</f>
        <v/>
      </c>
      <c r="I635" s="23" t="str">
        <f t="shared" si="55"/>
        <v/>
      </c>
      <c r="J635" s="23" t="str">
        <f t="shared" si="56"/>
        <v/>
      </c>
      <c r="K635" s="18" t="str">
        <f t="shared" si="57"/>
        <v/>
      </c>
      <c r="L635" s="16" t="str">
        <f t="shared" ca="1" si="58"/>
        <v/>
      </c>
      <c r="M635" s="25" t="str">
        <f>IF(H635="","",IF(I635&lt;=0,"Shipped",IF(L635&lt;=AGE30,"Fresh",IF(L635&lt;=AGE60,"Watch",IF(L635&lt;=AGE90,"Aging","Old")))))</f>
        <v/>
      </c>
      <c r="N635" s="16" t="str">
        <f t="shared" si="59"/>
        <v/>
      </c>
    </row>
    <row r="636" spans="1:14" x14ac:dyDescent="0.2">
      <c r="A636" s="32"/>
      <c r="B636" s="27"/>
      <c r="C636" s="15" t="str">
        <f>IF(B636="","",IFERROR(INDEX(Items!$B$5:$B$19,MATCH(B636,Items!$A$5:$A$19,0)),"Unknown code"))</f>
        <v/>
      </c>
      <c r="D636" s="29"/>
      <c r="E636" s="18" t="str">
        <f>IF(B636="","",IFERROR(INDEX(Items!$C$5:$C$19,MATCH(B636,Items!$A$5:$A$19,0)),""))</f>
        <v/>
      </c>
      <c r="F636" s="18" t="str">
        <f t="shared" si="54"/>
        <v/>
      </c>
      <c r="G636" s="27"/>
      <c r="H636" s="23" t="str">
        <f>IF(OR(A636="",B636="",D636=""),"",IFERROR(INDEX(Items!$D$5:$D$19,MATCH(B636,Items!$A$5:$A$19,0))+SUMIFS(D$4:D635,B$4:B635,B636),""))</f>
        <v/>
      </c>
      <c r="I636" s="23" t="str">
        <f t="shared" si="55"/>
        <v/>
      </c>
      <c r="J636" s="23" t="str">
        <f t="shared" si="56"/>
        <v/>
      </c>
      <c r="K636" s="18" t="str">
        <f t="shared" si="57"/>
        <v/>
      </c>
      <c r="L636" s="16" t="str">
        <f t="shared" ca="1" si="58"/>
        <v/>
      </c>
      <c r="M636" s="25" t="str">
        <f>IF(H636="","",IF(I636&lt;=0,"Shipped",IF(L636&lt;=AGE30,"Fresh",IF(L636&lt;=AGE60,"Watch",IF(L636&lt;=AGE90,"Aging","Old")))))</f>
        <v/>
      </c>
      <c r="N636" s="16" t="str">
        <f t="shared" si="59"/>
        <v/>
      </c>
    </row>
    <row r="637" spans="1:14" x14ac:dyDescent="0.2">
      <c r="A637" s="32"/>
      <c r="B637" s="27"/>
      <c r="C637" s="15" t="str">
        <f>IF(B637="","",IFERROR(INDEX(Items!$B$5:$B$19,MATCH(B637,Items!$A$5:$A$19,0)),"Unknown code"))</f>
        <v/>
      </c>
      <c r="D637" s="29"/>
      <c r="E637" s="18" t="str">
        <f>IF(B637="","",IFERROR(INDEX(Items!$C$5:$C$19,MATCH(B637,Items!$A$5:$A$19,0)),""))</f>
        <v/>
      </c>
      <c r="F637" s="18" t="str">
        <f t="shared" si="54"/>
        <v/>
      </c>
      <c r="G637" s="27"/>
      <c r="H637" s="23" t="str">
        <f>IF(OR(A637="",B637="",D637=""),"",IFERROR(INDEX(Items!$D$5:$D$19,MATCH(B637,Items!$A$5:$A$19,0))+SUMIFS(D$4:D636,B$4:B636,B637),""))</f>
        <v/>
      </c>
      <c r="I637" s="23" t="str">
        <f t="shared" si="55"/>
        <v/>
      </c>
      <c r="J637" s="23" t="str">
        <f t="shared" si="56"/>
        <v/>
      </c>
      <c r="K637" s="18" t="str">
        <f t="shared" si="57"/>
        <v/>
      </c>
      <c r="L637" s="16" t="str">
        <f t="shared" ca="1" si="58"/>
        <v/>
      </c>
      <c r="M637" s="25" t="str">
        <f>IF(H637="","",IF(I637&lt;=0,"Shipped",IF(L637&lt;=AGE30,"Fresh",IF(L637&lt;=AGE60,"Watch",IF(L637&lt;=AGE90,"Aging","Old")))))</f>
        <v/>
      </c>
      <c r="N637" s="16" t="str">
        <f t="shared" si="59"/>
        <v/>
      </c>
    </row>
    <row r="638" spans="1:14" x14ac:dyDescent="0.2">
      <c r="A638" s="32"/>
      <c r="B638" s="27"/>
      <c r="C638" s="15" t="str">
        <f>IF(B638="","",IFERROR(INDEX(Items!$B$5:$B$19,MATCH(B638,Items!$A$5:$A$19,0)),"Unknown code"))</f>
        <v/>
      </c>
      <c r="D638" s="29"/>
      <c r="E638" s="18" t="str">
        <f>IF(B638="","",IFERROR(INDEX(Items!$C$5:$C$19,MATCH(B638,Items!$A$5:$A$19,0)),""))</f>
        <v/>
      </c>
      <c r="F638" s="18" t="str">
        <f t="shared" si="54"/>
        <v/>
      </c>
      <c r="G638" s="27"/>
      <c r="H638" s="23" t="str">
        <f>IF(OR(A638="",B638="",D638=""),"",IFERROR(INDEX(Items!$D$5:$D$19,MATCH(B638,Items!$A$5:$A$19,0))+SUMIFS(D$4:D637,B$4:B637,B638),""))</f>
        <v/>
      </c>
      <c r="I638" s="23" t="str">
        <f t="shared" si="55"/>
        <v/>
      </c>
      <c r="J638" s="23" t="str">
        <f t="shared" si="56"/>
        <v/>
      </c>
      <c r="K638" s="18" t="str">
        <f t="shared" si="57"/>
        <v/>
      </c>
      <c r="L638" s="16" t="str">
        <f t="shared" ca="1" si="58"/>
        <v/>
      </c>
      <c r="M638" s="25" t="str">
        <f>IF(H638="","",IF(I638&lt;=0,"Shipped",IF(L638&lt;=AGE30,"Fresh",IF(L638&lt;=AGE60,"Watch",IF(L638&lt;=AGE90,"Aging","Old")))))</f>
        <v/>
      </c>
      <c r="N638" s="16" t="str">
        <f t="shared" si="59"/>
        <v/>
      </c>
    </row>
    <row r="639" spans="1:14" x14ac:dyDescent="0.2">
      <c r="A639" s="32"/>
      <c r="B639" s="27"/>
      <c r="C639" s="15" t="str">
        <f>IF(B639="","",IFERROR(INDEX(Items!$B$5:$B$19,MATCH(B639,Items!$A$5:$A$19,0)),"Unknown code"))</f>
        <v/>
      </c>
      <c r="D639" s="29"/>
      <c r="E639" s="18" t="str">
        <f>IF(B639="","",IFERROR(INDEX(Items!$C$5:$C$19,MATCH(B639,Items!$A$5:$A$19,0)),""))</f>
        <v/>
      </c>
      <c r="F639" s="18" t="str">
        <f t="shared" si="54"/>
        <v/>
      </c>
      <c r="G639" s="27"/>
      <c r="H639" s="23" t="str">
        <f>IF(OR(A639="",B639="",D639=""),"",IFERROR(INDEX(Items!$D$5:$D$19,MATCH(B639,Items!$A$5:$A$19,0))+SUMIFS(D$4:D638,B$4:B638,B639),""))</f>
        <v/>
      </c>
      <c r="I639" s="23" t="str">
        <f t="shared" si="55"/>
        <v/>
      </c>
      <c r="J639" s="23" t="str">
        <f t="shared" si="56"/>
        <v/>
      </c>
      <c r="K639" s="18" t="str">
        <f t="shared" si="57"/>
        <v/>
      </c>
      <c r="L639" s="16" t="str">
        <f t="shared" ca="1" si="58"/>
        <v/>
      </c>
      <c r="M639" s="25" t="str">
        <f>IF(H639="","",IF(I639&lt;=0,"Shipped",IF(L639&lt;=AGE30,"Fresh",IF(L639&lt;=AGE60,"Watch",IF(L639&lt;=AGE90,"Aging","Old")))))</f>
        <v/>
      </c>
      <c r="N639" s="16" t="str">
        <f t="shared" si="59"/>
        <v/>
      </c>
    </row>
    <row r="640" spans="1:14" x14ac:dyDescent="0.2">
      <c r="A640" s="32"/>
      <c r="B640" s="27"/>
      <c r="C640" s="15" t="str">
        <f>IF(B640="","",IFERROR(INDEX(Items!$B$5:$B$19,MATCH(B640,Items!$A$5:$A$19,0)),"Unknown code"))</f>
        <v/>
      </c>
      <c r="D640" s="29"/>
      <c r="E640" s="18" t="str">
        <f>IF(B640="","",IFERROR(INDEX(Items!$C$5:$C$19,MATCH(B640,Items!$A$5:$A$19,0)),""))</f>
        <v/>
      </c>
      <c r="F640" s="18" t="str">
        <f t="shared" si="54"/>
        <v/>
      </c>
      <c r="G640" s="27"/>
      <c r="H640" s="23" t="str">
        <f>IF(OR(A640="",B640="",D640=""),"",IFERROR(INDEX(Items!$D$5:$D$19,MATCH(B640,Items!$A$5:$A$19,0))+SUMIFS(D$4:D639,B$4:B639,B640),""))</f>
        <v/>
      </c>
      <c r="I640" s="23" t="str">
        <f t="shared" si="55"/>
        <v/>
      </c>
      <c r="J640" s="23" t="str">
        <f t="shared" si="56"/>
        <v/>
      </c>
      <c r="K640" s="18" t="str">
        <f t="shared" si="57"/>
        <v/>
      </c>
      <c r="L640" s="16" t="str">
        <f t="shared" ca="1" si="58"/>
        <v/>
      </c>
      <c r="M640" s="25" t="str">
        <f>IF(H640="","",IF(I640&lt;=0,"Shipped",IF(L640&lt;=AGE30,"Fresh",IF(L640&lt;=AGE60,"Watch",IF(L640&lt;=AGE90,"Aging","Old")))))</f>
        <v/>
      </c>
      <c r="N640" s="16" t="str">
        <f t="shared" si="59"/>
        <v/>
      </c>
    </row>
    <row r="641" spans="1:14" x14ac:dyDescent="0.2">
      <c r="A641" s="32"/>
      <c r="B641" s="27"/>
      <c r="C641" s="15" t="str">
        <f>IF(B641="","",IFERROR(INDEX(Items!$B$5:$B$19,MATCH(B641,Items!$A$5:$A$19,0)),"Unknown code"))</f>
        <v/>
      </c>
      <c r="D641" s="29"/>
      <c r="E641" s="18" t="str">
        <f>IF(B641="","",IFERROR(INDEX(Items!$C$5:$C$19,MATCH(B641,Items!$A$5:$A$19,0)),""))</f>
        <v/>
      </c>
      <c r="F641" s="18" t="str">
        <f t="shared" si="54"/>
        <v/>
      </c>
      <c r="G641" s="27"/>
      <c r="H641" s="23" t="str">
        <f>IF(OR(A641="",B641="",D641=""),"",IFERROR(INDEX(Items!$D$5:$D$19,MATCH(B641,Items!$A$5:$A$19,0))+SUMIFS(D$4:D640,B$4:B640,B641),""))</f>
        <v/>
      </c>
      <c r="I641" s="23" t="str">
        <f t="shared" si="55"/>
        <v/>
      </c>
      <c r="J641" s="23" t="str">
        <f t="shared" si="56"/>
        <v/>
      </c>
      <c r="K641" s="18" t="str">
        <f t="shared" si="57"/>
        <v/>
      </c>
      <c r="L641" s="16" t="str">
        <f t="shared" ca="1" si="58"/>
        <v/>
      </c>
      <c r="M641" s="25" t="str">
        <f>IF(H641="","",IF(I641&lt;=0,"Shipped",IF(L641&lt;=AGE30,"Fresh",IF(L641&lt;=AGE60,"Watch",IF(L641&lt;=AGE90,"Aging","Old")))))</f>
        <v/>
      </c>
      <c r="N641" s="16" t="str">
        <f t="shared" si="59"/>
        <v/>
      </c>
    </row>
    <row r="642" spans="1:14" x14ac:dyDescent="0.2">
      <c r="A642" s="32"/>
      <c r="B642" s="27"/>
      <c r="C642" s="15" t="str">
        <f>IF(B642="","",IFERROR(INDEX(Items!$B$5:$B$19,MATCH(B642,Items!$A$5:$A$19,0)),"Unknown code"))</f>
        <v/>
      </c>
      <c r="D642" s="29"/>
      <c r="E642" s="18" t="str">
        <f>IF(B642="","",IFERROR(INDEX(Items!$C$5:$C$19,MATCH(B642,Items!$A$5:$A$19,0)),""))</f>
        <v/>
      </c>
      <c r="F642" s="18" t="str">
        <f t="shared" si="54"/>
        <v/>
      </c>
      <c r="G642" s="27"/>
      <c r="H642" s="23" t="str">
        <f>IF(OR(A642="",B642="",D642=""),"",IFERROR(INDEX(Items!$D$5:$D$19,MATCH(B642,Items!$A$5:$A$19,0))+SUMIFS(D$4:D641,B$4:B641,B642),""))</f>
        <v/>
      </c>
      <c r="I642" s="23" t="str">
        <f t="shared" si="55"/>
        <v/>
      </c>
      <c r="J642" s="23" t="str">
        <f t="shared" si="56"/>
        <v/>
      </c>
      <c r="K642" s="18" t="str">
        <f t="shared" si="57"/>
        <v/>
      </c>
      <c r="L642" s="16" t="str">
        <f t="shared" ca="1" si="58"/>
        <v/>
      </c>
      <c r="M642" s="25" t="str">
        <f>IF(H642="","",IF(I642&lt;=0,"Shipped",IF(L642&lt;=AGE30,"Fresh",IF(L642&lt;=AGE60,"Watch",IF(L642&lt;=AGE90,"Aging","Old")))))</f>
        <v/>
      </c>
      <c r="N642" s="16" t="str">
        <f t="shared" si="59"/>
        <v/>
      </c>
    </row>
    <row r="643" spans="1:14" x14ac:dyDescent="0.2">
      <c r="A643" s="32"/>
      <c r="B643" s="27"/>
      <c r="C643" s="15" t="str">
        <f>IF(B643="","",IFERROR(INDEX(Items!$B$5:$B$19,MATCH(B643,Items!$A$5:$A$19,0)),"Unknown code"))</f>
        <v/>
      </c>
      <c r="D643" s="29"/>
      <c r="E643" s="18" t="str">
        <f>IF(B643="","",IFERROR(INDEX(Items!$C$5:$C$19,MATCH(B643,Items!$A$5:$A$19,0)),""))</f>
        <v/>
      </c>
      <c r="F643" s="18" t="str">
        <f t="shared" si="54"/>
        <v/>
      </c>
      <c r="G643" s="27"/>
      <c r="H643" s="23" t="str">
        <f>IF(OR(A643="",B643="",D643=""),"",IFERROR(INDEX(Items!$D$5:$D$19,MATCH(B643,Items!$A$5:$A$19,0))+SUMIFS(D$4:D642,B$4:B642,B643),""))</f>
        <v/>
      </c>
      <c r="I643" s="23" t="str">
        <f t="shared" si="55"/>
        <v/>
      </c>
      <c r="J643" s="23" t="str">
        <f t="shared" si="56"/>
        <v/>
      </c>
      <c r="K643" s="18" t="str">
        <f t="shared" si="57"/>
        <v/>
      </c>
      <c r="L643" s="16" t="str">
        <f t="shared" ca="1" si="58"/>
        <v/>
      </c>
      <c r="M643" s="25" t="str">
        <f>IF(H643="","",IF(I643&lt;=0,"Shipped",IF(L643&lt;=AGE30,"Fresh",IF(L643&lt;=AGE60,"Watch",IF(L643&lt;=AGE90,"Aging","Old")))))</f>
        <v/>
      </c>
      <c r="N643" s="16" t="str">
        <f t="shared" si="59"/>
        <v/>
      </c>
    </row>
    <row r="644" spans="1:14" x14ac:dyDescent="0.2">
      <c r="A644" s="32"/>
      <c r="B644" s="27"/>
      <c r="C644" s="15" t="str">
        <f>IF(B644="","",IFERROR(INDEX(Items!$B$5:$B$19,MATCH(B644,Items!$A$5:$A$19,0)),"Unknown code"))</f>
        <v/>
      </c>
      <c r="D644" s="29"/>
      <c r="E644" s="18" t="str">
        <f>IF(B644="","",IFERROR(INDEX(Items!$C$5:$C$19,MATCH(B644,Items!$A$5:$A$19,0)),""))</f>
        <v/>
      </c>
      <c r="F644" s="18" t="str">
        <f t="shared" si="54"/>
        <v/>
      </c>
      <c r="G644" s="27"/>
      <c r="H644" s="23" t="str">
        <f>IF(OR(A644="",B644="",D644=""),"",IFERROR(INDEX(Items!$D$5:$D$19,MATCH(B644,Items!$A$5:$A$19,0))+SUMIFS(D$4:D643,B$4:B643,B644),""))</f>
        <v/>
      </c>
      <c r="I644" s="23" t="str">
        <f t="shared" si="55"/>
        <v/>
      </c>
      <c r="J644" s="23" t="str">
        <f t="shared" si="56"/>
        <v/>
      </c>
      <c r="K644" s="18" t="str">
        <f t="shared" si="57"/>
        <v/>
      </c>
      <c r="L644" s="16" t="str">
        <f t="shared" ca="1" si="58"/>
        <v/>
      </c>
      <c r="M644" s="25" t="str">
        <f>IF(H644="","",IF(I644&lt;=0,"Shipped",IF(L644&lt;=AGE30,"Fresh",IF(L644&lt;=AGE60,"Watch",IF(L644&lt;=AGE90,"Aging","Old")))))</f>
        <v/>
      </c>
      <c r="N644" s="16" t="str">
        <f t="shared" si="59"/>
        <v/>
      </c>
    </row>
    <row r="645" spans="1:14" x14ac:dyDescent="0.2">
      <c r="A645" s="32"/>
      <c r="B645" s="27"/>
      <c r="C645" s="15" t="str">
        <f>IF(B645="","",IFERROR(INDEX(Items!$B$5:$B$19,MATCH(B645,Items!$A$5:$A$19,0)),"Unknown code"))</f>
        <v/>
      </c>
      <c r="D645" s="29"/>
      <c r="E645" s="18" t="str">
        <f>IF(B645="","",IFERROR(INDEX(Items!$C$5:$C$19,MATCH(B645,Items!$A$5:$A$19,0)),""))</f>
        <v/>
      </c>
      <c r="F645" s="18" t="str">
        <f t="shared" ref="F645:F708" si="60">IF(OR(D645="",E645=""),"",D645*E645)</f>
        <v/>
      </c>
      <c r="G645" s="27"/>
      <c r="H645" s="23" t="str">
        <f>IF(OR(A645="",B645="",D645=""),"",IFERROR(INDEX(Items!$D$5:$D$19,MATCH(B645,Items!$A$5:$A$19,0))+SUMIFS(D$4:D644,B$4:B644,B645),""))</f>
        <v/>
      </c>
      <c r="I645" s="23" t="str">
        <f t="shared" ref="I645:I708" si="61">IF(H645="","",MAX(0,MIN(D645,H645+D645-TotalShipped)))</f>
        <v/>
      </c>
      <c r="J645" s="23" t="str">
        <f t="shared" ref="J645:J708" si="62">IF(H645="","",D645-I645)</f>
        <v/>
      </c>
      <c r="K645" s="18" t="str">
        <f t="shared" ref="K645:K708" si="63">IF(OR(H645="",E645=""),"",I645*E645)</f>
        <v/>
      </c>
      <c r="L645" s="16" t="str">
        <f t="shared" ref="L645:L708" ca="1" si="64">IF(H645="","",IF(I645&gt;0,TODAY()-A645,""))</f>
        <v/>
      </c>
      <c r="M645" s="25" t="str">
        <f>IF(H645="","",IF(I645&lt;=0,"Shipped",IF(L645&lt;=AGE30,"Fresh",IF(L645&lt;=AGE60,"Watch",IF(L645&lt;=AGE90,"Aging","Old")))))</f>
        <v/>
      </c>
      <c r="N645" s="16" t="str">
        <f t="shared" ref="N645:N708" si="65">IF(H645="","",J645*A645)</f>
        <v/>
      </c>
    </row>
    <row r="646" spans="1:14" x14ac:dyDescent="0.2">
      <c r="A646" s="32"/>
      <c r="B646" s="27"/>
      <c r="C646" s="15" t="str">
        <f>IF(B646="","",IFERROR(INDEX(Items!$B$5:$B$19,MATCH(B646,Items!$A$5:$A$19,0)),"Unknown code"))</f>
        <v/>
      </c>
      <c r="D646" s="29"/>
      <c r="E646" s="18" t="str">
        <f>IF(B646="","",IFERROR(INDEX(Items!$C$5:$C$19,MATCH(B646,Items!$A$5:$A$19,0)),""))</f>
        <v/>
      </c>
      <c r="F646" s="18" t="str">
        <f t="shared" si="60"/>
        <v/>
      </c>
      <c r="G646" s="27"/>
      <c r="H646" s="23" t="str">
        <f>IF(OR(A646="",B646="",D646=""),"",IFERROR(INDEX(Items!$D$5:$D$19,MATCH(B646,Items!$A$5:$A$19,0))+SUMIFS(D$4:D645,B$4:B645,B646),""))</f>
        <v/>
      </c>
      <c r="I646" s="23" t="str">
        <f t="shared" si="61"/>
        <v/>
      </c>
      <c r="J646" s="23" t="str">
        <f t="shared" si="62"/>
        <v/>
      </c>
      <c r="K646" s="18" t="str">
        <f t="shared" si="63"/>
        <v/>
      </c>
      <c r="L646" s="16" t="str">
        <f t="shared" ca="1" si="64"/>
        <v/>
      </c>
      <c r="M646" s="25" t="str">
        <f>IF(H646="","",IF(I646&lt;=0,"Shipped",IF(L646&lt;=AGE30,"Fresh",IF(L646&lt;=AGE60,"Watch",IF(L646&lt;=AGE90,"Aging","Old")))))</f>
        <v/>
      </c>
      <c r="N646" s="16" t="str">
        <f t="shared" si="65"/>
        <v/>
      </c>
    </row>
    <row r="647" spans="1:14" x14ac:dyDescent="0.2">
      <c r="A647" s="32"/>
      <c r="B647" s="27"/>
      <c r="C647" s="15" t="str">
        <f>IF(B647="","",IFERROR(INDEX(Items!$B$5:$B$19,MATCH(B647,Items!$A$5:$A$19,0)),"Unknown code"))</f>
        <v/>
      </c>
      <c r="D647" s="29"/>
      <c r="E647" s="18" t="str">
        <f>IF(B647="","",IFERROR(INDEX(Items!$C$5:$C$19,MATCH(B647,Items!$A$5:$A$19,0)),""))</f>
        <v/>
      </c>
      <c r="F647" s="18" t="str">
        <f t="shared" si="60"/>
        <v/>
      </c>
      <c r="G647" s="27"/>
      <c r="H647" s="23" t="str">
        <f>IF(OR(A647="",B647="",D647=""),"",IFERROR(INDEX(Items!$D$5:$D$19,MATCH(B647,Items!$A$5:$A$19,0))+SUMIFS(D$4:D646,B$4:B646,B647),""))</f>
        <v/>
      </c>
      <c r="I647" s="23" t="str">
        <f t="shared" si="61"/>
        <v/>
      </c>
      <c r="J647" s="23" t="str">
        <f t="shared" si="62"/>
        <v/>
      </c>
      <c r="K647" s="18" t="str">
        <f t="shared" si="63"/>
        <v/>
      </c>
      <c r="L647" s="16" t="str">
        <f t="shared" ca="1" si="64"/>
        <v/>
      </c>
      <c r="M647" s="25" t="str">
        <f>IF(H647="","",IF(I647&lt;=0,"Shipped",IF(L647&lt;=AGE30,"Fresh",IF(L647&lt;=AGE60,"Watch",IF(L647&lt;=AGE90,"Aging","Old")))))</f>
        <v/>
      </c>
      <c r="N647" s="16" t="str">
        <f t="shared" si="65"/>
        <v/>
      </c>
    </row>
    <row r="648" spans="1:14" x14ac:dyDescent="0.2">
      <c r="A648" s="32"/>
      <c r="B648" s="27"/>
      <c r="C648" s="15" t="str">
        <f>IF(B648="","",IFERROR(INDEX(Items!$B$5:$B$19,MATCH(B648,Items!$A$5:$A$19,0)),"Unknown code"))</f>
        <v/>
      </c>
      <c r="D648" s="29"/>
      <c r="E648" s="18" t="str">
        <f>IF(B648="","",IFERROR(INDEX(Items!$C$5:$C$19,MATCH(B648,Items!$A$5:$A$19,0)),""))</f>
        <v/>
      </c>
      <c r="F648" s="18" t="str">
        <f t="shared" si="60"/>
        <v/>
      </c>
      <c r="G648" s="27"/>
      <c r="H648" s="23" t="str">
        <f>IF(OR(A648="",B648="",D648=""),"",IFERROR(INDEX(Items!$D$5:$D$19,MATCH(B648,Items!$A$5:$A$19,0))+SUMIFS(D$4:D647,B$4:B647,B648),""))</f>
        <v/>
      </c>
      <c r="I648" s="23" t="str">
        <f t="shared" si="61"/>
        <v/>
      </c>
      <c r="J648" s="23" t="str">
        <f t="shared" si="62"/>
        <v/>
      </c>
      <c r="K648" s="18" t="str">
        <f t="shared" si="63"/>
        <v/>
      </c>
      <c r="L648" s="16" t="str">
        <f t="shared" ca="1" si="64"/>
        <v/>
      </c>
      <c r="M648" s="25" t="str">
        <f>IF(H648="","",IF(I648&lt;=0,"Shipped",IF(L648&lt;=AGE30,"Fresh",IF(L648&lt;=AGE60,"Watch",IF(L648&lt;=AGE90,"Aging","Old")))))</f>
        <v/>
      </c>
      <c r="N648" s="16" t="str">
        <f t="shared" si="65"/>
        <v/>
      </c>
    </row>
    <row r="649" spans="1:14" x14ac:dyDescent="0.2">
      <c r="A649" s="32"/>
      <c r="B649" s="27"/>
      <c r="C649" s="15" t="str">
        <f>IF(B649="","",IFERROR(INDEX(Items!$B$5:$B$19,MATCH(B649,Items!$A$5:$A$19,0)),"Unknown code"))</f>
        <v/>
      </c>
      <c r="D649" s="29"/>
      <c r="E649" s="18" t="str">
        <f>IF(B649="","",IFERROR(INDEX(Items!$C$5:$C$19,MATCH(B649,Items!$A$5:$A$19,0)),""))</f>
        <v/>
      </c>
      <c r="F649" s="18" t="str">
        <f t="shared" si="60"/>
        <v/>
      </c>
      <c r="G649" s="27"/>
      <c r="H649" s="23" t="str">
        <f>IF(OR(A649="",B649="",D649=""),"",IFERROR(INDEX(Items!$D$5:$D$19,MATCH(B649,Items!$A$5:$A$19,0))+SUMIFS(D$4:D648,B$4:B648,B649),""))</f>
        <v/>
      </c>
      <c r="I649" s="23" t="str">
        <f t="shared" si="61"/>
        <v/>
      </c>
      <c r="J649" s="23" t="str">
        <f t="shared" si="62"/>
        <v/>
      </c>
      <c r="K649" s="18" t="str">
        <f t="shared" si="63"/>
        <v/>
      </c>
      <c r="L649" s="16" t="str">
        <f t="shared" ca="1" si="64"/>
        <v/>
      </c>
      <c r="M649" s="25" t="str">
        <f>IF(H649="","",IF(I649&lt;=0,"Shipped",IF(L649&lt;=AGE30,"Fresh",IF(L649&lt;=AGE60,"Watch",IF(L649&lt;=AGE90,"Aging","Old")))))</f>
        <v/>
      </c>
      <c r="N649" s="16" t="str">
        <f t="shared" si="65"/>
        <v/>
      </c>
    </row>
    <row r="650" spans="1:14" x14ac:dyDescent="0.2">
      <c r="A650" s="32"/>
      <c r="B650" s="27"/>
      <c r="C650" s="15" t="str">
        <f>IF(B650="","",IFERROR(INDEX(Items!$B$5:$B$19,MATCH(B650,Items!$A$5:$A$19,0)),"Unknown code"))</f>
        <v/>
      </c>
      <c r="D650" s="29"/>
      <c r="E650" s="18" t="str">
        <f>IF(B650="","",IFERROR(INDEX(Items!$C$5:$C$19,MATCH(B650,Items!$A$5:$A$19,0)),""))</f>
        <v/>
      </c>
      <c r="F650" s="18" t="str">
        <f t="shared" si="60"/>
        <v/>
      </c>
      <c r="G650" s="27"/>
      <c r="H650" s="23" t="str">
        <f>IF(OR(A650="",B650="",D650=""),"",IFERROR(INDEX(Items!$D$5:$D$19,MATCH(B650,Items!$A$5:$A$19,0))+SUMIFS(D$4:D649,B$4:B649,B650),""))</f>
        <v/>
      </c>
      <c r="I650" s="23" t="str">
        <f t="shared" si="61"/>
        <v/>
      </c>
      <c r="J650" s="23" t="str">
        <f t="shared" si="62"/>
        <v/>
      </c>
      <c r="K650" s="18" t="str">
        <f t="shared" si="63"/>
        <v/>
      </c>
      <c r="L650" s="16" t="str">
        <f t="shared" ca="1" si="64"/>
        <v/>
      </c>
      <c r="M650" s="25" t="str">
        <f>IF(H650="","",IF(I650&lt;=0,"Shipped",IF(L650&lt;=AGE30,"Fresh",IF(L650&lt;=AGE60,"Watch",IF(L650&lt;=AGE90,"Aging","Old")))))</f>
        <v/>
      </c>
      <c r="N650" s="16" t="str">
        <f t="shared" si="65"/>
        <v/>
      </c>
    </row>
    <row r="651" spans="1:14" x14ac:dyDescent="0.2">
      <c r="A651" s="32"/>
      <c r="B651" s="27"/>
      <c r="C651" s="15" t="str">
        <f>IF(B651="","",IFERROR(INDEX(Items!$B$5:$B$19,MATCH(B651,Items!$A$5:$A$19,0)),"Unknown code"))</f>
        <v/>
      </c>
      <c r="D651" s="29"/>
      <c r="E651" s="18" t="str">
        <f>IF(B651="","",IFERROR(INDEX(Items!$C$5:$C$19,MATCH(B651,Items!$A$5:$A$19,0)),""))</f>
        <v/>
      </c>
      <c r="F651" s="18" t="str">
        <f t="shared" si="60"/>
        <v/>
      </c>
      <c r="G651" s="27"/>
      <c r="H651" s="23" t="str">
        <f>IF(OR(A651="",B651="",D651=""),"",IFERROR(INDEX(Items!$D$5:$D$19,MATCH(B651,Items!$A$5:$A$19,0))+SUMIFS(D$4:D650,B$4:B650,B651),""))</f>
        <v/>
      </c>
      <c r="I651" s="23" t="str">
        <f t="shared" si="61"/>
        <v/>
      </c>
      <c r="J651" s="23" t="str">
        <f t="shared" si="62"/>
        <v/>
      </c>
      <c r="K651" s="18" t="str">
        <f t="shared" si="63"/>
        <v/>
      </c>
      <c r="L651" s="16" t="str">
        <f t="shared" ca="1" si="64"/>
        <v/>
      </c>
      <c r="M651" s="25" t="str">
        <f>IF(H651="","",IF(I651&lt;=0,"Shipped",IF(L651&lt;=AGE30,"Fresh",IF(L651&lt;=AGE60,"Watch",IF(L651&lt;=AGE90,"Aging","Old")))))</f>
        <v/>
      </c>
      <c r="N651" s="16" t="str">
        <f t="shared" si="65"/>
        <v/>
      </c>
    </row>
    <row r="652" spans="1:14" x14ac:dyDescent="0.2">
      <c r="A652" s="32"/>
      <c r="B652" s="27"/>
      <c r="C652" s="15" t="str">
        <f>IF(B652="","",IFERROR(INDEX(Items!$B$5:$B$19,MATCH(B652,Items!$A$5:$A$19,0)),"Unknown code"))</f>
        <v/>
      </c>
      <c r="D652" s="29"/>
      <c r="E652" s="18" t="str">
        <f>IF(B652="","",IFERROR(INDEX(Items!$C$5:$C$19,MATCH(B652,Items!$A$5:$A$19,0)),""))</f>
        <v/>
      </c>
      <c r="F652" s="18" t="str">
        <f t="shared" si="60"/>
        <v/>
      </c>
      <c r="G652" s="27"/>
      <c r="H652" s="23" t="str">
        <f>IF(OR(A652="",B652="",D652=""),"",IFERROR(INDEX(Items!$D$5:$D$19,MATCH(B652,Items!$A$5:$A$19,0))+SUMIFS(D$4:D651,B$4:B651,B652),""))</f>
        <v/>
      </c>
      <c r="I652" s="23" t="str">
        <f t="shared" si="61"/>
        <v/>
      </c>
      <c r="J652" s="23" t="str">
        <f t="shared" si="62"/>
        <v/>
      </c>
      <c r="K652" s="18" t="str">
        <f t="shared" si="63"/>
        <v/>
      </c>
      <c r="L652" s="16" t="str">
        <f t="shared" ca="1" si="64"/>
        <v/>
      </c>
      <c r="M652" s="25" t="str">
        <f>IF(H652="","",IF(I652&lt;=0,"Shipped",IF(L652&lt;=AGE30,"Fresh",IF(L652&lt;=AGE60,"Watch",IF(L652&lt;=AGE90,"Aging","Old")))))</f>
        <v/>
      </c>
      <c r="N652" s="16" t="str">
        <f t="shared" si="65"/>
        <v/>
      </c>
    </row>
    <row r="653" spans="1:14" x14ac:dyDescent="0.2">
      <c r="A653" s="32"/>
      <c r="B653" s="27"/>
      <c r="C653" s="15" t="str">
        <f>IF(B653="","",IFERROR(INDEX(Items!$B$5:$B$19,MATCH(B653,Items!$A$5:$A$19,0)),"Unknown code"))</f>
        <v/>
      </c>
      <c r="D653" s="29"/>
      <c r="E653" s="18" t="str">
        <f>IF(B653="","",IFERROR(INDEX(Items!$C$5:$C$19,MATCH(B653,Items!$A$5:$A$19,0)),""))</f>
        <v/>
      </c>
      <c r="F653" s="18" t="str">
        <f t="shared" si="60"/>
        <v/>
      </c>
      <c r="G653" s="27"/>
      <c r="H653" s="23" t="str">
        <f>IF(OR(A653="",B653="",D653=""),"",IFERROR(INDEX(Items!$D$5:$D$19,MATCH(B653,Items!$A$5:$A$19,0))+SUMIFS(D$4:D652,B$4:B652,B653),""))</f>
        <v/>
      </c>
      <c r="I653" s="23" t="str">
        <f t="shared" si="61"/>
        <v/>
      </c>
      <c r="J653" s="23" t="str">
        <f t="shared" si="62"/>
        <v/>
      </c>
      <c r="K653" s="18" t="str">
        <f t="shared" si="63"/>
        <v/>
      </c>
      <c r="L653" s="16" t="str">
        <f t="shared" ca="1" si="64"/>
        <v/>
      </c>
      <c r="M653" s="25" t="str">
        <f>IF(H653="","",IF(I653&lt;=0,"Shipped",IF(L653&lt;=AGE30,"Fresh",IF(L653&lt;=AGE60,"Watch",IF(L653&lt;=AGE90,"Aging","Old")))))</f>
        <v/>
      </c>
      <c r="N653" s="16" t="str">
        <f t="shared" si="65"/>
        <v/>
      </c>
    </row>
    <row r="654" spans="1:14" x14ac:dyDescent="0.2">
      <c r="A654" s="32"/>
      <c r="B654" s="27"/>
      <c r="C654" s="15" t="str">
        <f>IF(B654="","",IFERROR(INDEX(Items!$B$5:$B$19,MATCH(B654,Items!$A$5:$A$19,0)),"Unknown code"))</f>
        <v/>
      </c>
      <c r="D654" s="29"/>
      <c r="E654" s="18" t="str">
        <f>IF(B654="","",IFERROR(INDEX(Items!$C$5:$C$19,MATCH(B654,Items!$A$5:$A$19,0)),""))</f>
        <v/>
      </c>
      <c r="F654" s="18" t="str">
        <f t="shared" si="60"/>
        <v/>
      </c>
      <c r="G654" s="27"/>
      <c r="H654" s="23" t="str">
        <f>IF(OR(A654="",B654="",D654=""),"",IFERROR(INDEX(Items!$D$5:$D$19,MATCH(B654,Items!$A$5:$A$19,0))+SUMIFS(D$4:D653,B$4:B653,B654),""))</f>
        <v/>
      </c>
      <c r="I654" s="23" t="str">
        <f t="shared" si="61"/>
        <v/>
      </c>
      <c r="J654" s="23" t="str">
        <f t="shared" si="62"/>
        <v/>
      </c>
      <c r="K654" s="18" t="str">
        <f t="shared" si="63"/>
        <v/>
      </c>
      <c r="L654" s="16" t="str">
        <f t="shared" ca="1" si="64"/>
        <v/>
      </c>
      <c r="M654" s="25" t="str">
        <f>IF(H654="","",IF(I654&lt;=0,"Shipped",IF(L654&lt;=AGE30,"Fresh",IF(L654&lt;=AGE60,"Watch",IF(L654&lt;=AGE90,"Aging","Old")))))</f>
        <v/>
      </c>
      <c r="N654" s="16" t="str">
        <f t="shared" si="65"/>
        <v/>
      </c>
    </row>
    <row r="655" spans="1:14" x14ac:dyDescent="0.2">
      <c r="A655" s="32"/>
      <c r="B655" s="27"/>
      <c r="C655" s="15" t="str">
        <f>IF(B655="","",IFERROR(INDEX(Items!$B$5:$B$19,MATCH(B655,Items!$A$5:$A$19,0)),"Unknown code"))</f>
        <v/>
      </c>
      <c r="D655" s="29"/>
      <c r="E655" s="18" t="str">
        <f>IF(B655="","",IFERROR(INDEX(Items!$C$5:$C$19,MATCH(B655,Items!$A$5:$A$19,0)),""))</f>
        <v/>
      </c>
      <c r="F655" s="18" t="str">
        <f t="shared" si="60"/>
        <v/>
      </c>
      <c r="G655" s="27"/>
      <c r="H655" s="23" t="str">
        <f>IF(OR(A655="",B655="",D655=""),"",IFERROR(INDEX(Items!$D$5:$D$19,MATCH(B655,Items!$A$5:$A$19,0))+SUMIFS(D$4:D654,B$4:B654,B655),""))</f>
        <v/>
      </c>
      <c r="I655" s="23" t="str">
        <f t="shared" si="61"/>
        <v/>
      </c>
      <c r="J655" s="23" t="str">
        <f t="shared" si="62"/>
        <v/>
      </c>
      <c r="K655" s="18" t="str">
        <f t="shared" si="63"/>
        <v/>
      </c>
      <c r="L655" s="16" t="str">
        <f t="shared" ca="1" si="64"/>
        <v/>
      </c>
      <c r="M655" s="25" t="str">
        <f>IF(H655="","",IF(I655&lt;=0,"Shipped",IF(L655&lt;=AGE30,"Fresh",IF(L655&lt;=AGE60,"Watch",IF(L655&lt;=AGE90,"Aging","Old")))))</f>
        <v/>
      </c>
      <c r="N655" s="16" t="str">
        <f t="shared" si="65"/>
        <v/>
      </c>
    </row>
    <row r="656" spans="1:14" x14ac:dyDescent="0.2">
      <c r="A656" s="32"/>
      <c r="B656" s="27"/>
      <c r="C656" s="15" t="str">
        <f>IF(B656="","",IFERROR(INDEX(Items!$B$5:$B$19,MATCH(B656,Items!$A$5:$A$19,0)),"Unknown code"))</f>
        <v/>
      </c>
      <c r="D656" s="29"/>
      <c r="E656" s="18" t="str">
        <f>IF(B656="","",IFERROR(INDEX(Items!$C$5:$C$19,MATCH(B656,Items!$A$5:$A$19,0)),""))</f>
        <v/>
      </c>
      <c r="F656" s="18" t="str">
        <f t="shared" si="60"/>
        <v/>
      </c>
      <c r="G656" s="27"/>
      <c r="H656" s="23" t="str">
        <f>IF(OR(A656="",B656="",D656=""),"",IFERROR(INDEX(Items!$D$5:$D$19,MATCH(B656,Items!$A$5:$A$19,0))+SUMIFS(D$4:D655,B$4:B655,B656),""))</f>
        <v/>
      </c>
      <c r="I656" s="23" t="str">
        <f t="shared" si="61"/>
        <v/>
      </c>
      <c r="J656" s="23" t="str">
        <f t="shared" si="62"/>
        <v/>
      </c>
      <c r="K656" s="18" t="str">
        <f t="shared" si="63"/>
        <v/>
      </c>
      <c r="L656" s="16" t="str">
        <f t="shared" ca="1" si="64"/>
        <v/>
      </c>
      <c r="M656" s="25" t="str">
        <f>IF(H656="","",IF(I656&lt;=0,"Shipped",IF(L656&lt;=AGE30,"Fresh",IF(L656&lt;=AGE60,"Watch",IF(L656&lt;=AGE90,"Aging","Old")))))</f>
        <v/>
      </c>
      <c r="N656" s="16" t="str">
        <f t="shared" si="65"/>
        <v/>
      </c>
    </row>
    <row r="657" spans="1:14" x14ac:dyDescent="0.2">
      <c r="A657" s="32"/>
      <c r="B657" s="27"/>
      <c r="C657" s="15" t="str">
        <f>IF(B657="","",IFERROR(INDEX(Items!$B$5:$B$19,MATCH(B657,Items!$A$5:$A$19,0)),"Unknown code"))</f>
        <v/>
      </c>
      <c r="D657" s="29"/>
      <c r="E657" s="18" t="str">
        <f>IF(B657="","",IFERROR(INDEX(Items!$C$5:$C$19,MATCH(B657,Items!$A$5:$A$19,0)),""))</f>
        <v/>
      </c>
      <c r="F657" s="18" t="str">
        <f t="shared" si="60"/>
        <v/>
      </c>
      <c r="G657" s="27"/>
      <c r="H657" s="23" t="str">
        <f>IF(OR(A657="",B657="",D657=""),"",IFERROR(INDEX(Items!$D$5:$D$19,MATCH(B657,Items!$A$5:$A$19,0))+SUMIFS(D$4:D656,B$4:B656,B657),""))</f>
        <v/>
      </c>
      <c r="I657" s="23" t="str">
        <f t="shared" si="61"/>
        <v/>
      </c>
      <c r="J657" s="23" t="str">
        <f t="shared" si="62"/>
        <v/>
      </c>
      <c r="K657" s="18" t="str">
        <f t="shared" si="63"/>
        <v/>
      </c>
      <c r="L657" s="16" t="str">
        <f t="shared" ca="1" si="64"/>
        <v/>
      </c>
      <c r="M657" s="25" t="str">
        <f>IF(H657="","",IF(I657&lt;=0,"Shipped",IF(L657&lt;=AGE30,"Fresh",IF(L657&lt;=AGE60,"Watch",IF(L657&lt;=AGE90,"Aging","Old")))))</f>
        <v/>
      </c>
      <c r="N657" s="16" t="str">
        <f t="shared" si="65"/>
        <v/>
      </c>
    </row>
    <row r="658" spans="1:14" x14ac:dyDescent="0.2">
      <c r="A658" s="32"/>
      <c r="B658" s="27"/>
      <c r="C658" s="15" t="str">
        <f>IF(B658="","",IFERROR(INDEX(Items!$B$5:$B$19,MATCH(B658,Items!$A$5:$A$19,0)),"Unknown code"))</f>
        <v/>
      </c>
      <c r="D658" s="29"/>
      <c r="E658" s="18" t="str">
        <f>IF(B658="","",IFERROR(INDEX(Items!$C$5:$C$19,MATCH(B658,Items!$A$5:$A$19,0)),""))</f>
        <v/>
      </c>
      <c r="F658" s="18" t="str">
        <f t="shared" si="60"/>
        <v/>
      </c>
      <c r="G658" s="27"/>
      <c r="H658" s="23" t="str">
        <f>IF(OR(A658="",B658="",D658=""),"",IFERROR(INDEX(Items!$D$5:$D$19,MATCH(B658,Items!$A$5:$A$19,0))+SUMIFS(D$4:D657,B$4:B657,B658),""))</f>
        <v/>
      </c>
      <c r="I658" s="23" t="str">
        <f t="shared" si="61"/>
        <v/>
      </c>
      <c r="J658" s="23" t="str">
        <f t="shared" si="62"/>
        <v/>
      </c>
      <c r="K658" s="18" t="str">
        <f t="shared" si="63"/>
        <v/>
      </c>
      <c r="L658" s="16" t="str">
        <f t="shared" ca="1" si="64"/>
        <v/>
      </c>
      <c r="M658" s="25" t="str">
        <f>IF(H658="","",IF(I658&lt;=0,"Shipped",IF(L658&lt;=AGE30,"Fresh",IF(L658&lt;=AGE60,"Watch",IF(L658&lt;=AGE90,"Aging","Old")))))</f>
        <v/>
      </c>
      <c r="N658" s="16" t="str">
        <f t="shared" si="65"/>
        <v/>
      </c>
    </row>
    <row r="659" spans="1:14" x14ac:dyDescent="0.2">
      <c r="A659" s="32"/>
      <c r="B659" s="27"/>
      <c r="C659" s="15" t="str">
        <f>IF(B659="","",IFERROR(INDEX(Items!$B$5:$B$19,MATCH(B659,Items!$A$5:$A$19,0)),"Unknown code"))</f>
        <v/>
      </c>
      <c r="D659" s="29"/>
      <c r="E659" s="18" t="str">
        <f>IF(B659="","",IFERROR(INDEX(Items!$C$5:$C$19,MATCH(B659,Items!$A$5:$A$19,0)),""))</f>
        <v/>
      </c>
      <c r="F659" s="18" t="str">
        <f t="shared" si="60"/>
        <v/>
      </c>
      <c r="G659" s="27"/>
      <c r="H659" s="23" t="str">
        <f>IF(OR(A659="",B659="",D659=""),"",IFERROR(INDEX(Items!$D$5:$D$19,MATCH(B659,Items!$A$5:$A$19,0))+SUMIFS(D$4:D658,B$4:B658,B659),""))</f>
        <v/>
      </c>
      <c r="I659" s="23" t="str">
        <f t="shared" si="61"/>
        <v/>
      </c>
      <c r="J659" s="23" t="str">
        <f t="shared" si="62"/>
        <v/>
      </c>
      <c r="K659" s="18" t="str">
        <f t="shared" si="63"/>
        <v/>
      </c>
      <c r="L659" s="16" t="str">
        <f t="shared" ca="1" si="64"/>
        <v/>
      </c>
      <c r="M659" s="25" t="str">
        <f>IF(H659="","",IF(I659&lt;=0,"Shipped",IF(L659&lt;=AGE30,"Fresh",IF(L659&lt;=AGE60,"Watch",IF(L659&lt;=AGE90,"Aging","Old")))))</f>
        <v/>
      </c>
      <c r="N659" s="16" t="str">
        <f t="shared" si="65"/>
        <v/>
      </c>
    </row>
    <row r="660" spans="1:14" x14ac:dyDescent="0.2">
      <c r="A660" s="32"/>
      <c r="B660" s="27"/>
      <c r="C660" s="15" t="str">
        <f>IF(B660="","",IFERROR(INDEX(Items!$B$5:$B$19,MATCH(B660,Items!$A$5:$A$19,0)),"Unknown code"))</f>
        <v/>
      </c>
      <c r="D660" s="29"/>
      <c r="E660" s="18" t="str">
        <f>IF(B660="","",IFERROR(INDEX(Items!$C$5:$C$19,MATCH(B660,Items!$A$5:$A$19,0)),""))</f>
        <v/>
      </c>
      <c r="F660" s="18" t="str">
        <f t="shared" si="60"/>
        <v/>
      </c>
      <c r="G660" s="27"/>
      <c r="H660" s="23" t="str">
        <f>IF(OR(A660="",B660="",D660=""),"",IFERROR(INDEX(Items!$D$5:$D$19,MATCH(B660,Items!$A$5:$A$19,0))+SUMIFS(D$4:D659,B$4:B659,B660),""))</f>
        <v/>
      </c>
      <c r="I660" s="23" t="str">
        <f t="shared" si="61"/>
        <v/>
      </c>
      <c r="J660" s="23" t="str">
        <f t="shared" si="62"/>
        <v/>
      </c>
      <c r="K660" s="18" t="str">
        <f t="shared" si="63"/>
        <v/>
      </c>
      <c r="L660" s="16" t="str">
        <f t="shared" ca="1" si="64"/>
        <v/>
      </c>
      <c r="M660" s="25" t="str">
        <f>IF(H660="","",IF(I660&lt;=0,"Shipped",IF(L660&lt;=AGE30,"Fresh",IF(L660&lt;=AGE60,"Watch",IF(L660&lt;=AGE90,"Aging","Old")))))</f>
        <v/>
      </c>
      <c r="N660" s="16" t="str">
        <f t="shared" si="65"/>
        <v/>
      </c>
    </row>
    <row r="661" spans="1:14" x14ac:dyDescent="0.2">
      <c r="A661" s="32"/>
      <c r="B661" s="27"/>
      <c r="C661" s="15" t="str">
        <f>IF(B661="","",IFERROR(INDEX(Items!$B$5:$B$19,MATCH(B661,Items!$A$5:$A$19,0)),"Unknown code"))</f>
        <v/>
      </c>
      <c r="D661" s="29"/>
      <c r="E661" s="18" t="str">
        <f>IF(B661="","",IFERROR(INDEX(Items!$C$5:$C$19,MATCH(B661,Items!$A$5:$A$19,0)),""))</f>
        <v/>
      </c>
      <c r="F661" s="18" t="str">
        <f t="shared" si="60"/>
        <v/>
      </c>
      <c r="G661" s="27"/>
      <c r="H661" s="23" t="str">
        <f>IF(OR(A661="",B661="",D661=""),"",IFERROR(INDEX(Items!$D$5:$D$19,MATCH(B661,Items!$A$5:$A$19,0))+SUMIFS(D$4:D660,B$4:B660,B661),""))</f>
        <v/>
      </c>
      <c r="I661" s="23" t="str">
        <f t="shared" si="61"/>
        <v/>
      </c>
      <c r="J661" s="23" t="str">
        <f t="shared" si="62"/>
        <v/>
      </c>
      <c r="K661" s="18" t="str">
        <f t="shared" si="63"/>
        <v/>
      </c>
      <c r="L661" s="16" t="str">
        <f t="shared" ca="1" si="64"/>
        <v/>
      </c>
      <c r="M661" s="25" t="str">
        <f>IF(H661="","",IF(I661&lt;=0,"Shipped",IF(L661&lt;=AGE30,"Fresh",IF(L661&lt;=AGE60,"Watch",IF(L661&lt;=AGE90,"Aging","Old")))))</f>
        <v/>
      </c>
      <c r="N661" s="16" t="str">
        <f t="shared" si="65"/>
        <v/>
      </c>
    </row>
    <row r="662" spans="1:14" x14ac:dyDescent="0.2">
      <c r="A662" s="32"/>
      <c r="B662" s="27"/>
      <c r="C662" s="15" t="str">
        <f>IF(B662="","",IFERROR(INDEX(Items!$B$5:$B$19,MATCH(B662,Items!$A$5:$A$19,0)),"Unknown code"))</f>
        <v/>
      </c>
      <c r="D662" s="29"/>
      <c r="E662" s="18" t="str">
        <f>IF(B662="","",IFERROR(INDEX(Items!$C$5:$C$19,MATCH(B662,Items!$A$5:$A$19,0)),""))</f>
        <v/>
      </c>
      <c r="F662" s="18" t="str">
        <f t="shared" si="60"/>
        <v/>
      </c>
      <c r="G662" s="27"/>
      <c r="H662" s="23" t="str">
        <f>IF(OR(A662="",B662="",D662=""),"",IFERROR(INDEX(Items!$D$5:$D$19,MATCH(B662,Items!$A$5:$A$19,0))+SUMIFS(D$4:D661,B$4:B661,B662),""))</f>
        <v/>
      </c>
      <c r="I662" s="23" t="str">
        <f t="shared" si="61"/>
        <v/>
      </c>
      <c r="J662" s="23" t="str">
        <f t="shared" si="62"/>
        <v/>
      </c>
      <c r="K662" s="18" t="str">
        <f t="shared" si="63"/>
        <v/>
      </c>
      <c r="L662" s="16" t="str">
        <f t="shared" ca="1" si="64"/>
        <v/>
      </c>
      <c r="M662" s="25" t="str">
        <f>IF(H662="","",IF(I662&lt;=0,"Shipped",IF(L662&lt;=AGE30,"Fresh",IF(L662&lt;=AGE60,"Watch",IF(L662&lt;=AGE90,"Aging","Old")))))</f>
        <v/>
      </c>
      <c r="N662" s="16" t="str">
        <f t="shared" si="65"/>
        <v/>
      </c>
    </row>
    <row r="663" spans="1:14" x14ac:dyDescent="0.2">
      <c r="A663" s="32"/>
      <c r="B663" s="27"/>
      <c r="C663" s="15" t="str">
        <f>IF(B663="","",IFERROR(INDEX(Items!$B$5:$B$19,MATCH(B663,Items!$A$5:$A$19,0)),"Unknown code"))</f>
        <v/>
      </c>
      <c r="D663" s="29"/>
      <c r="E663" s="18" t="str">
        <f>IF(B663="","",IFERROR(INDEX(Items!$C$5:$C$19,MATCH(B663,Items!$A$5:$A$19,0)),""))</f>
        <v/>
      </c>
      <c r="F663" s="18" t="str">
        <f t="shared" si="60"/>
        <v/>
      </c>
      <c r="G663" s="27"/>
      <c r="H663" s="23" t="str">
        <f>IF(OR(A663="",B663="",D663=""),"",IFERROR(INDEX(Items!$D$5:$D$19,MATCH(B663,Items!$A$5:$A$19,0))+SUMIFS(D$4:D662,B$4:B662,B663),""))</f>
        <v/>
      </c>
      <c r="I663" s="23" t="str">
        <f t="shared" si="61"/>
        <v/>
      </c>
      <c r="J663" s="23" t="str">
        <f t="shared" si="62"/>
        <v/>
      </c>
      <c r="K663" s="18" t="str">
        <f t="shared" si="63"/>
        <v/>
      </c>
      <c r="L663" s="16" t="str">
        <f t="shared" ca="1" si="64"/>
        <v/>
      </c>
      <c r="M663" s="25" t="str">
        <f>IF(H663="","",IF(I663&lt;=0,"Shipped",IF(L663&lt;=AGE30,"Fresh",IF(L663&lt;=AGE60,"Watch",IF(L663&lt;=AGE90,"Aging","Old")))))</f>
        <v/>
      </c>
      <c r="N663" s="16" t="str">
        <f t="shared" si="65"/>
        <v/>
      </c>
    </row>
    <row r="664" spans="1:14" x14ac:dyDescent="0.2">
      <c r="A664" s="32"/>
      <c r="B664" s="27"/>
      <c r="C664" s="15" t="str">
        <f>IF(B664="","",IFERROR(INDEX(Items!$B$5:$B$19,MATCH(B664,Items!$A$5:$A$19,0)),"Unknown code"))</f>
        <v/>
      </c>
      <c r="D664" s="29"/>
      <c r="E664" s="18" t="str">
        <f>IF(B664="","",IFERROR(INDEX(Items!$C$5:$C$19,MATCH(B664,Items!$A$5:$A$19,0)),""))</f>
        <v/>
      </c>
      <c r="F664" s="18" t="str">
        <f t="shared" si="60"/>
        <v/>
      </c>
      <c r="G664" s="27"/>
      <c r="H664" s="23" t="str">
        <f>IF(OR(A664="",B664="",D664=""),"",IFERROR(INDEX(Items!$D$5:$D$19,MATCH(B664,Items!$A$5:$A$19,0))+SUMIFS(D$4:D663,B$4:B663,B664),""))</f>
        <v/>
      </c>
      <c r="I664" s="23" t="str">
        <f t="shared" si="61"/>
        <v/>
      </c>
      <c r="J664" s="23" t="str">
        <f t="shared" si="62"/>
        <v/>
      </c>
      <c r="K664" s="18" t="str">
        <f t="shared" si="63"/>
        <v/>
      </c>
      <c r="L664" s="16" t="str">
        <f t="shared" ca="1" si="64"/>
        <v/>
      </c>
      <c r="M664" s="25" t="str">
        <f>IF(H664="","",IF(I664&lt;=0,"Shipped",IF(L664&lt;=AGE30,"Fresh",IF(L664&lt;=AGE60,"Watch",IF(L664&lt;=AGE90,"Aging","Old")))))</f>
        <v/>
      </c>
      <c r="N664" s="16" t="str">
        <f t="shared" si="65"/>
        <v/>
      </c>
    </row>
    <row r="665" spans="1:14" x14ac:dyDescent="0.2">
      <c r="A665" s="32"/>
      <c r="B665" s="27"/>
      <c r="C665" s="15" t="str">
        <f>IF(B665="","",IFERROR(INDEX(Items!$B$5:$B$19,MATCH(B665,Items!$A$5:$A$19,0)),"Unknown code"))</f>
        <v/>
      </c>
      <c r="D665" s="29"/>
      <c r="E665" s="18" t="str">
        <f>IF(B665="","",IFERROR(INDEX(Items!$C$5:$C$19,MATCH(B665,Items!$A$5:$A$19,0)),""))</f>
        <v/>
      </c>
      <c r="F665" s="18" t="str">
        <f t="shared" si="60"/>
        <v/>
      </c>
      <c r="G665" s="27"/>
      <c r="H665" s="23" t="str">
        <f>IF(OR(A665="",B665="",D665=""),"",IFERROR(INDEX(Items!$D$5:$D$19,MATCH(B665,Items!$A$5:$A$19,0))+SUMIFS(D$4:D664,B$4:B664,B665),""))</f>
        <v/>
      </c>
      <c r="I665" s="23" t="str">
        <f t="shared" si="61"/>
        <v/>
      </c>
      <c r="J665" s="23" t="str">
        <f t="shared" si="62"/>
        <v/>
      </c>
      <c r="K665" s="18" t="str">
        <f t="shared" si="63"/>
        <v/>
      </c>
      <c r="L665" s="16" t="str">
        <f t="shared" ca="1" si="64"/>
        <v/>
      </c>
      <c r="M665" s="25" t="str">
        <f>IF(H665="","",IF(I665&lt;=0,"Shipped",IF(L665&lt;=AGE30,"Fresh",IF(L665&lt;=AGE60,"Watch",IF(L665&lt;=AGE90,"Aging","Old")))))</f>
        <v/>
      </c>
      <c r="N665" s="16" t="str">
        <f t="shared" si="65"/>
        <v/>
      </c>
    </row>
    <row r="666" spans="1:14" x14ac:dyDescent="0.2">
      <c r="A666" s="32"/>
      <c r="B666" s="27"/>
      <c r="C666" s="15" t="str">
        <f>IF(B666="","",IFERROR(INDEX(Items!$B$5:$B$19,MATCH(B666,Items!$A$5:$A$19,0)),"Unknown code"))</f>
        <v/>
      </c>
      <c r="D666" s="29"/>
      <c r="E666" s="18" t="str">
        <f>IF(B666="","",IFERROR(INDEX(Items!$C$5:$C$19,MATCH(B666,Items!$A$5:$A$19,0)),""))</f>
        <v/>
      </c>
      <c r="F666" s="18" t="str">
        <f t="shared" si="60"/>
        <v/>
      </c>
      <c r="G666" s="27"/>
      <c r="H666" s="23" t="str">
        <f>IF(OR(A666="",B666="",D666=""),"",IFERROR(INDEX(Items!$D$5:$D$19,MATCH(B666,Items!$A$5:$A$19,0))+SUMIFS(D$4:D665,B$4:B665,B666),""))</f>
        <v/>
      </c>
      <c r="I666" s="23" t="str">
        <f t="shared" si="61"/>
        <v/>
      </c>
      <c r="J666" s="23" t="str">
        <f t="shared" si="62"/>
        <v/>
      </c>
      <c r="K666" s="18" t="str">
        <f t="shared" si="63"/>
        <v/>
      </c>
      <c r="L666" s="16" t="str">
        <f t="shared" ca="1" si="64"/>
        <v/>
      </c>
      <c r="M666" s="25" t="str">
        <f>IF(H666="","",IF(I666&lt;=0,"Shipped",IF(L666&lt;=AGE30,"Fresh",IF(L666&lt;=AGE60,"Watch",IF(L666&lt;=AGE90,"Aging","Old")))))</f>
        <v/>
      </c>
      <c r="N666" s="16" t="str">
        <f t="shared" si="65"/>
        <v/>
      </c>
    </row>
    <row r="667" spans="1:14" x14ac:dyDescent="0.2">
      <c r="A667" s="32"/>
      <c r="B667" s="27"/>
      <c r="C667" s="15" t="str">
        <f>IF(B667="","",IFERROR(INDEX(Items!$B$5:$B$19,MATCH(B667,Items!$A$5:$A$19,0)),"Unknown code"))</f>
        <v/>
      </c>
      <c r="D667" s="29"/>
      <c r="E667" s="18" t="str">
        <f>IF(B667="","",IFERROR(INDEX(Items!$C$5:$C$19,MATCH(B667,Items!$A$5:$A$19,0)),""))</f>
        <v/>
      </c>
      <c r="F667" s="18" t="str">
        <f t="shared" si="60"/>
        <v/>
      </c>
      <c r="G667" s="27"/>
      <c r="H667" s="23" t="str">
        <f>IF(OR(A667="",B667="",D667=""),"",IFERROR(INDEX(Items!$D$5:$D$19,MATCH(B667,Items!$A$5:$A$19,0))+SUMIFS(D$4:D666,B$4:B666,B667),""))</f>
        <v/>
      </c>
      <c r="I667" s="23" t="str">
        <f t="shared" si="61"/>
        <v/>
      </c>
      <c r="J667" s="23" t="str">
        <f t="shared" si="62"/>
        <v/>
      </c>
      <c r="K667" s="18" t="str">
        <f t="shared" si="63"/>
        <v/>
      </c>
      <c r="L667" s="16" t="str">
        <f t="shared" ca="1" si="64"/>
        <v/>
      </c>
      <c r="M667" s="25" t="str">
        <f>IF(H667="","",IF(I667&lt;=0,"Shipped",IF(L667&lt;=AGE30,"Fresh",IF(L667&lt;=AGE60,"Watch",IF(L667&lt;=AGE90,"Aging","Old")))))</f>
        <v/>
      </c>
      <c r="N667" s="16" t="str">
        <f t="shared" si="65"/>
        <v/>
      </c>
    </row>
    <row r="668" spans="1:14" x14ac:dyDescent="0.2">
      <c r="A668" s="32"/>
      <c r="B668" s="27"/>
      <c r="C668" s="15" t="str">
        <f>IF(B668="","",IFERROR(INDEX(Items!$B$5:$B$19,MATCH(B668,Items!$A$5:$A$19,0)),"Unknown code"))</f>
        <v/>
      </c>
      <c r="D668" s="29"/>
      <c r="E668" s="18" t="str">
        <f>IF(B668="","",IFERROR(INDEX(Items!$C$5:$C$19,MATCH(B668,Items!$A$5:$A$19,0)),""))</f>
        <v/>
      </c>
      <c r="F668" s="18" t="str">
        <f t="shared" si="60"/>
        <v/>
      </c>
      <c r="G668" s="27"/>
      <c r="H668" s="23" t="str">
        <f>IF(OR(A668="",B668="",D668=""),"",IFERROR(INDEX(Items!$D$5:$D$19,MATCH(B668,Items!$A$5:$A$19,0))+SUMIFS(D$4:D667,B$4:B667,B668),""))</f>
        <v/>
      </c>
      <c r="I668" s="23" t="str">
        <f t="shared" si="61"/>
        <v/>
      </c>
      <c r="J668" s="23" t="str">
        <f t="shared" si="62"/>
        <v/>
      </c>
      <c r="K668" s="18" t="str">
        <f t="shared" si="63"/>
        <v/>
      </c>
      <c r="L668" s="16" t="str">
        <f t="shared" ca="1" si="64"/>
        <v/>
      </c>
      <c r="M668" s="25" t="str">
        <f>IF(H668="","",IF(I668&lt;=0,"Shipped",IF(L668&lt;=AGE30,"Fresh",IF(L668&lt;=AGE60,"Watch",IF(L668&lt;=AGE90,"Aging","Old")))))</f>
        <v/>
      </c>
      <c r="N668" s="16" t="str">
        <f t="shared" si="65"/>
        <v/>
      </c>
    </row>
    <row r="669" spans="1:14" x14ac:dyDescent="0.2">
      <c r="A669" s="32"/>
      <c r="B669" s="27"/>
      <c r="C669" s="15" t="str">
        <f>IF(B669="","",IFERROR(INDEX(Items!$B$5:$B$19,MATCH(B669,Items!$A$5:$A$19,0)),"Unknown code"))</f>
        <v/>
      </c>
      <c r="D669" s="29"/>
      <c r="E669" s="18" t="str">
        <f>IF(B669="","",IFERROR(INDEX(Items!$C$5:$C$19,MATCH(B669,Items!$A$5:$A$19,0)),""))</f>
        <v/>
      </c>
      <c r="F669" s="18" t="str">
        <f t="shared" si="60"/>
        <v/>
      </c>
      <c r="G669" s="27"/>
      <c r="H669" s="23" t="str">
        <f>IF(OR(A669="",B669="",D669=""),"",IFERROR(INDEX(Items!$D$5:$D$19,MATCH(B669,Items!$A$5:$A$19,0))+SUMIFS(D$4:D668,B$4:B668,B669),""))</f>
        <v/>
      </c>
      <c r="I669" s="23" t="str">
        <f t="shared" si="61"/>
        <v/>
      </c>
      <c r="J669" s="23" t="str">
        <f t="shared" si="62"/>
        <v/>
      </c>
      <c r="K669" s="18" t="str">
        <f t="shared" si="63"/>
        <v/>
      </c>
      <c r="L669" s="16" t="str">
        <f t="shared" ca="1" si="64"/>
        <v/>
      </c>
      <c r="M669" s="25" t="str">
        <f>IF(H669="","",IF(I669&lt;=0,"Shipped",IF(L669&lt;=AGE30,"Fresh",IF(L669&lt;=AGE60,"Watch",IF(L669&lt;=AGE90,"Aging","Old")))))</f>
        <v/>
      </c>
      <c r="N669" s="16" t="str">
        <f t="shared" si="65"/>
        <v/>
      </c>
    </row>
    <row r="670" spans="1:14" x14ac:dyDescent="0.2">
      <c r="A670" s="32"/>
      <c r="B670" s="27"/>
      <c r="C670" s="15" t="str">
        <f>IF(B670="","",IFERROR(INDEX(Items!$B$5:$B$19,MATCH(B670,Items!$A$5:$A$19,0)),"Unknown code"))</f>
        <v/>
      </c>
      <c r="D670" s="29"/>
      <c r="E670" s="18" t="str">
        <f>IF(B670="","",IFERROR(INDEX(Items!$C$5:$C$19,MATCH(B670,Items!$A$5:$A$19,0)),""))</f>
        <v/>
      </c>
      <c r="F670" s="18" t="str">
        <f t="shared" si="60"/>
        <v/>
      </c>
      <c r="G670" s="27"/>
      <c r="H670" s="23" t="str">
        <f>IF(OR(A670="",B670="",D670=""),"",IFERROR(INDEX(Items!$D$5:$D$19,MATCH(B670,Items!$A$5:$A$19,0))+SUMIFS(D$4:D669,B$4:B669,B670),""))</f>
        <v/>
      </c>
      <c r="I670" s="23" t="str">
        <f t="shared" si="61"/>
        <v/>
      </c>
      <c r="J670" s="23" t="str">
        <f t="shared" si="62"/>
        <v/>
      </c>
      <c r="K670" s="18" t="str">
        <f t="shared" si="63"/>
        <v/>
      </c>
      <c r="L670" s="16" t="str">
        <f t="shared" ca="1" si="64"/>
        <v/>
      </c>
      <c r="M670" s="25" t="str">
        <f>IF(H670="","",IF(I670&lt;=0,"Shipped",IF(L670&lt;=AGE30,"Fresh",IF(L670&lt;=AGE60,"Watch",IF(L670&lt;=AGE90,"Aging","Old")))))</f>
        <v/>
      </c>
      <c r="N670" s="16" t="str">
        <f t="shared" si="65"/>
        <v/>
      </c>
    </row>
    <row r="671" spans="1:14" x14ac:dyDescent="0.2">
      <c r="A671" s="32"/>
      <c r="B671" s="27"/>
      <c r="C671" s="15" t="str">
        <f>IF(B671="","",IFERROR(INDEX(Items!$B$5:$B$19,MATCH(B671,Items!$A$5:$A$19,0)),"Unknown code"))</f>
        <v/>
      </c>
      <c r="D671" s="29"/>
      <c r="E671" s="18" t="str">
        <f>IF(B671="","",IFERROR(INDEX(Items!$C$5:$C$19,MATCH(B671,Items!$A$5:$A$19,0)),""))</f>
        <v/>
      </c>
      <c r="F671" s="18" t="str">
        <f t="shared" si="60"/>
        <v/>
      </c>
      <c r="G671" s="27"/>
      <c r="H671" s="23" t="str">
        <f>IF(OR(A671="",B671="",D671=""),"",IFERROR(INDEX(Items!$D$5:$D$19,MATCH(B671,Items!$A$5:$A$19,0))+SUMIFS(D$4:D670,B$4:B670,B671),""))</f>
        <v/>
      </c>
      <c r="I671" s="23" t="str">
        <f t="shared" si="61"/>
        <v/>
      </c>
      <c r="J671" s="23" t="str">
        <f t="shared" si="62"/>
        <v/>
      </c>
      <c r="K671" s="18" t="str">
        <f t="shared" si="63"/>
        <v/>
      </c>
      <c r="L671" s="16" t="str">
        <f t="shared" ca="1" si="64"/>
        <v/>
      </c>
      <c r="M671" s="25" t="str">
        <f>IF(H671="","",IF(I671&lt;=0,"Shipped",IF(L671&lt;=AGE30,"Fresh",IF(L671&lt;=AGE60,"Watch",IF(L671&lt;=AGE90,"Aging","Old")))))</f>
        <v/>
      </c>
      <c r="N671" s="16" t="str">
        <f t="shared" si="65"/>
        <v/>
      </c>
    </row>
    <row r="672" spans="1:14" x14ac:dyDescent="0.2">
      <c r="A672" s="32"/>
      <c r="B672" s="27"/>
      <c r="C672" s="15" t="str">
        <f>IF(B672="","",IFERROR(INDEX(Items!$B$5:$B$19,MATCH(B672,Items!$A$5:$A$19,0)),"Unknown code"))</f>
        <v/>
      </c>
      <c r="D672" s="29"/>
      <c r="E672" s="18" t="str">
        <f>IF(B672="","",IFERROR(INDEX(Items!$C$5:$C$19,MATCH(B672,Items!$A$5:$A$19,0)),""))</f>
        <v/>
      </c>
      <c r="F672" s="18" t="str">
        <f t="shared" si="60"/>
        <v/>
      </c>
      <c r="G672" s="27"/>
      <c r="H672" s="23" t="str">
        <f>IF(OR(A672="",B672="",D672=""),"",IFERROR(INDEX(Items!$D$5:$D$19,MATCH(B672,Items!$A$5:$A$19,0))+SUMIFS(D$4:D671,B$4:B671,B672),""))</f>
        <v/>
      </c>
      <c r="I672" s="23" t="str">
        <f t="shared" si="61"/>
        <v/>
      </c>
      <c r="J672" s="23" t="str">
        <f t="shared" si="62"/>
        <v/>
      </c>
      <c r="K672" s="18" t="str">
        <f t="shared" si="63"/>
        <v/>
      </c>
      <c r="L672" s="16" t="str">
        <f t="shared" ca="1" si="64"/>
        <v/>
      </c>
      <c r="M672" s="25" t="str">
        <f>IF(H672="","",IF(I672&lt;=0,"Shipped",IF(L672&lt;=AGE30,"Fresh",IF(L672&lt;=AGE60,"Watch",IF(L672&lt;=AGE90,"Aging","Old")))))</f>
        <v/>
      </c>
      <c r="N672" s="16" t="str">
        <f t="shared" si="65"/>
        <v/>
      </c>
    </row>
    <row r="673" spans="1:14" x14ac:dyDescent="0.2">
      <c r="A673" s="32"/>
      <c r="B673" s="27"/>
      <c r="C673" s="15" t="str">
        <f>IF(B673="","",IFERROR(INDEX(Items!$B$5:$B$19,MATCH(B673,Items!$A$5:$A$19,0)),"Unknown code"))</f>
        <v/>
      </c>
      <c r="D673" s="29"/>
      <c r="E673" s="18" t="str">
        <f>IF(B673="","",IFERROR(INDEX(Items!$C$5:$C$19,MATCH(B673,Items!$A$5:$A$19,0)),""))</f>
        <v/>
      </c>
      <c r="F673" s="18" t="str">
        <f t="shared" si="60"/>
        <v/>
      </c>
      <c r="G673" s="27"/>
      <c r="H673" s="23" t="str">
        <f>IF(OR(A673="",B673="",D673=""),"",IFERROR(INDEX(Items!$D$5:$D$19,MATCH(B673,Items!$A$5:$A$19,0))+SUMIFS(D$4:D672,B$4:B672,B673),""))</f>
        <v/>
      </c>
      <c r="I673" s="23" t="str">
        <f t="shared" si="61"/>
        <v/>
      </c>
      <c r="J673" s="23" t="str">
        <f t="shared" si="62"/>
        <v/>
      </c>
      <c r="K673" s="18" t="str">
        <f t="shared" si="63"/>
        <v/>
      </c>
      <c r="L673" s="16" t="str">
        <f t="shared" ca="1" si="64"/>
        <v/>
      </c>
      <c r="M673" s="25" t="str">
        <f>IF(H673="","",IF(I673&lt;=0,"Shipped",IF(L673&lt;=AGE30,"Fresh",IF(L673&lt;=AGE60,"Watch",IF(L673&lt;=AGE90,"Aging","Old")))))</f>
        <v/>
      </c>
      <c r="N673" s="16" t="str">
        <f t="shared" si="65"/>
        <v/>
      </c>
    </row>
    <row r="674" spans="1:14" x14ac:dyDescent="0.2">
      <c r="A674" s="32"/>
      <c r="B674" s="27"/>
      <c r="C674" s="15" t="str">
        <f>IF(B674="","",IFERROR(INDEX(Items!$B$5:$B$19,MATCH(B674,Items!$A$5:$A$19,0)),"Unknown code"))</f>
        <v/>
      </c>
      <c r="D674" s="29"/>
      <c r="E674" s="18" t="str">
        <f>IF(B674="","",IFERROR(INDEX(Items!$C$5:$C$19,MATCH(B674,Items!$A$5:$A$19,0)),""))</f>
        <v/>
      </c>
      <c r="F674" s="18" t="str">
        <f t="shared" si="60"/>
        <v/>
      </c>
      <c r="G674" s="27"/>
      <c r="H674" s="23" t="str">
        <f>IF(OR(A674="",B674="",D674=""),"",IFERROR(INDEX(Items!$D$5:$D$19,MATCH(B674,Items!$A$5:$A$19,0))+SUMIFS(D$4:D673,B$4:B673,B674),""))</f>
        <v/>
      </c>
      <c r="I674" s="23" t="str">
        <f t="shared" si="61"/>
        <v/>
      </c>
      <c r="J674" s="23" t="str">
        <f t="shared" si="62"/>
        <v/>
      </c>
      <c r="K674" s="18" t="str">
        <f t="shared" si="63"/>
        <v/>
      </c>
      <c r="L674" s="16" t="str">
        <f t="shared" ca="1" si="64"/>
        <v/>
      </c>
      <c r="M674" s="25" t="str">
        <f>IF(H674="","",IF(I674&lt;=0,"Shipped",IF(L674&lt;=AGE30,"Fresh",IF(L674&lt;=AGE60,"Watch",IF(L674&lt;=AGE90,"Aging","Old")))))</f>
        <v/>
      </c>
      <c r="N674" s="16" t="str">
        <f t="shared" si="65"/>
        <v/>
      </c>
    </row>
    <row r="675" spans="1:14" x14ac:dyDescent="0.2">
      <c r="A675" s="32"/>
      <c r="B675" s="27"/>
      <c r="C675" s="15" t="str">
        <f>IF(B675="","",IFERROR(INDEX(Items!$B$5:$B$19,MATCH(B675,Items!$A$5:$A$19,0)),"Unknown code"))</f>
        <v/>
      </c>
      <c r="D675" s="29"/>
      <c r="E675" s="18" t="str">
        <f>IF(B675="","",IFERROR(INDEX(Items!$C$5:$C$19,MATCH(B675,Items!$A$5:$A$19,0)),""))</f>
        <v/>
      </c>
      <c r="F675" s="18" t="str">
        <f t="shared" si="60"/>
        <v/>
      </c>
      <c r="G675" s="27"/>
      <c r="H675" s="23" t="str">
        <f>IF(OR(A675="",B675="",D675=""),"",IFERROR(INDEX(Items!$D$5:$D$19,MATCH(B675,Items!$A$5:$A$19,0))+SUMIFS(D$4:D674,B$4:B674,B675),""))</f>
        <v/>
      </c>
      <c r="I675" s="23" t="str">
        <f t="shared" si="61"/>
        <v/>
      </c>
      <c r="J675" s="23" t="str">
        <f t="shared" si="62"/>
        <v/>
      </c>
      <c r="K675" s="18" t="str">
        <f t="shared" si="63"/>
        <v/>
      </c>
      <c r="L675" s="16" t="str">
        <f t="shared" ca="1" si="64"/>
        <v/>
      </c>
      <c r="M675" s="25" t="str">
        <f>IF(H675="","",IF(I675&lt;=0,"Shipped",IF(L675&lt;=AGE30,"Fresh",IF(L675&lt;=AGE60,"Watch",IF(L675&lt;=AGE90,"Aging","Old")))))</f>
        <v/>
      </c>
      <c r="N675" s="16" t="str">
        <f t="shared" si="65"/>
        <v/>
      </c>
    </row>
    <row r="676" spans="1:14" x14ac:dyDescent="0.2">
      <c r="A676" s="32"/>
      <c r="B676" s="27"/>
      <c r="C676" s="15" t="str">
        <f>IF(B676="","",IFERROR(INDEX(Items!$B$5:$B$19,MATCH(B676,Items!$A$5:$A$19,0)),"Unknown code"))</f>
        <v/>
      </c>
      <c r="D676" s="29"/>
      <c r="E676" s="18" t="str">
        <f>IF(B676="","",IFERROR(INDEX(Items!$C$5:$C$19,MATCH(B676,Items!$A$5:$A$19,0)),""))</f>
        <v/>
      </c>
      <c r="F676" s="18" t="str">
        <f t="shared" si="60"/>
        <v/>
      </c>
      <c r="G676" s="27"/>
      <c r="H676" s="23" t="str">
        <f>IF(OR(A676="",B676="",D676=""),"",IFERROR(INDEX(Items!$D$5:$D$19,MATCH(B676,Items!$A$5:$A$19,0))+SUMIFS(D$4:D675,B$4:B675,B676),""))</f>
        <v/>
      </c>
      <c r="I676" s="23" t="str">
        <f t="shared" si="61"/>
        <v/>
      </c>
      <c r="J676" s="23" t="str">
        <f t="shared" si="62"/>
        <v/>
      </c>
      <c r="K676" s="18" t="str">
        <f t="shared" si="63"/>
        <v/>
      </c>
      <c r="L676" s="16" t="str">
        <f t="shared" ca="1" si="64"/>
        <v/>
      </c>
      <c r="M676" s="25" t="str">
        <f>IF(H676="","",IF(I676&lt;=0,"Shipped",IF(L676&lt;=AGE30,"Fresh",IF(L676&lt;=AGE60,"Watch",IF(L676&lt;=AGE90,"Aging","Old")))))</f>
        <v/>
      </c>
      <c r="N676" s="16" t="str">
        <f t="shared" si="65"/>
        <v/>
      </c>
    </row>
    <row r="677" spans="1:14" x14ac:dyDescent="0.2">
      <c r="A677" s="32"/>
      <c r="B677" s="27"/>
      <c r="C677" s="15" t="str">
        <f>IF(B677="","",IFERROR(INDEX(Items!$B$5:$B$19,MATCH(B677,Items!$A$5:$A$19,0)),"Unknown code"))</f>
        <v/>
      </c>
      <c r="D677" s="29"/>
      <c r="E677" s="18" t="str">
        <f>IF(B677="","",IFERROR(INDEX(Items!$C$5:$C$19,MATCH(B677,Items!$A$5:$A$19,0)),""))</f>
        <v/>
      </c>
      <c r="F677" s="18" t="str">
        <f t="shared" si="60"/>
        <v/>
      </c>
      <c r="G677" s="27"/>
      <c r="H677" s="23" t="str">
        <f>IF(OR(A677="",B677="",D677=""),"",IFERROR(INDEX(Items!$D$5:$D$19,MATCH(B677,Items!$A$5:$A$19,0))+SUMIFS(D$4:D676,B$4:B676,B677),""))</f>
        <v/>
      </c>
      <c r="I677" s="23" t="str">
        <f t="shared" si="61"/>
        <v/>
      </c>
      <c r="J677" s="23" t="str">
        <f t="shared" si="62"/>
        <v/>
      </c>
      <c r="K677" s="18" t="str">
        <f t="shared" si="63"/>
        <v/>
      </c>
      <c r="L677" s="16" t="str">
        <f t="shared" ca="1" si="64"/>
        <v/>
      </c>
      <c r="M677" s="25" t="str">
        <f>IF(H677="","",IF(I677&lt;=0,"Shipped",IF(L677&lt;=AGE30,"Fresh",IF(L677&lt;=AGE60,"Watch",IF(L677&lt;=AGE90,"Aging","Old")))))</f>
        <v/>
      </c>
      <c r="N677" s="16" t="str">
        <f t="shared" si="65"/>
        <v/>
      </c>
    </row>
    <row r="678" spans="1:14" x14ac:dyDescent="0.2">
      <c r="A678" s="32"/>
      <c r="B678" s="27"/>
      <c r="C678" s="15" t="str">
        <f>IF(B678="","",IFERROR(INDEX(Items!$B$5:$B$19,MATCH(B678,Items!$A$5:$A$19,0)),"Unknown code"))</f>
        <v/>
      </c>
      <c r="D678" s="29"/>
      <c r="E678" s="18" t="str">
        <f>IF(B678="","",IFERROR(INDEX(Items!$C$5:$C$19,MATCH(B678,Items!$A$5:$A$19,0)),""))</f>
        <v/>
      </c>
      <c r="F678" s="18" t="str">
        <f t="shared" si="60"/>
        <v/>
      </c>
      <c r="G678" s="27"/>
      <c r="H678" s="23" t="str">
        <f>IF(OR(A678="",B678="",D678=""),"",IFERROR(INDEX(Items!$D$5:$D$19,MATCH(B678,Items!$A$5:$A$19,0))+SUMIFS(D$4:D677,B$4:B677,B678),""))</f>
        <v/>
      </c>
      <c r="I678" s="23" t="str">
        <f t="shared" si="61"/>
        <v/>
      </c>
      <c r="J678" s="23" t="str">
        <f t="shared" si="62"/>
        <v/>
      </c>
      <c r="K678" s="18" t="str">
        <f t="shared" si="63"/>
        <v/>
      </c>
      <c r="L678" s="16" t="str">
        <f t="shared" ca="1" si="64"/>
        <v/>
      </c>
      <c r="M678" s="25" t="str">
        <f>IF(H678="","",IF(I678&lt;=0,"Shipped",IF(L678&lt;=AGE30,"Fresh",IF(L678&lt;=AGE60,"Watch",IF(L678&lt;=AGE90,"Aging","Old")))))</f>
        <v/>
      </c>
      <c r="N678" s="16" t="str">
        <f t="shared" si="65"/>
        <v/>
      </c>
    </row>
    <row r="679" spans="1:14" x14ac:dyDescent="0.2">
      <c r="A679" s="32"/>
      <c r="B679" s="27"/>
      <c r="C679" s="15" t="str">
        <f>IF(B679="","",IFERROR(INDEX(Items!$B$5:$B$19,MATCH(B679,Items!$A$5:$A$19,0)),"Unknown code"))</f>
        <v/>
      </c>
      <c r="D679" s="29"/>
      <c r="E679" s="18" t="str">
        <f>IF(B679="","",IFERROR(INDEX(Items!$C$5:$C$19,MATCH(B679,Items!$A$5:$A$19,0)),""))</f>
        <v/>
      </c>
      <c r="F679" s="18" t="str">
        <f t="shared" si="60"/>
        <v/>
      </c>
      <c r="G679" s="27"/>
      <c r="H679" s="23" t="str">
        <f>IF(OR(A679="",B679="",D679=""),"",IFERROR(INDEX(Items!$D$5:$D$19,MATCH(B679,Items!$A$5:$A$19,0))+SUMIFS(D$4:D678,B$4:B678,B679),""))</f>
        <v/>
      </c>
      <c r="I679" s="23" t="str">
        <f t="shared" si="61"/>
        <v/>
      </c>
      <c r="J679" s="23" t="str">
        <f t="shared" si="62"/>
        <v/>
      </c>
      <c r="K679" s="18" t="str">
        <f t="shared" si="63"/>
        <v/>
      </c>
      <c r="L679" s="16" t="str">
        <f t="shared" ca="1" si="64"/>
        <v/>
      </c>
      <c r="M679" s="25" t="str">
        <f>IF(H679="","",IF(I679&lt;=0,"Shipped",IF(L679&lt;=AGE30,"Fresh",IF(L679&lt;=AGE60,"Watch",IF(L679&lt;=AGE90,"Aging","Old")))))</f>
        <v/>
      </c>
      <c r="N679" s="16" t="str">
        <f t="shared" si="65"/>
        <v/>
      </c>
    </row>
    <row r="680" spans="1:14" x14ac:dyDescent="0.2">
      <c r="A680" s="32"/>
      <c r="B680" s="27"/>
      <c r="C680" s="15" t="str">
        <f>IF(B680="","",IFERROR(INDEX(Items!$B$5:$B$19,MATCH(B680,Items!$A$5:$A$19,0)),"Unknown code"))</f>
        <v/>
      </c>
      <c r="D680" s="29"/>
      <c r="E680" s="18" t="str">
        <f>IF(B680="","",IFERROR(INDEX(Items!$C$5:$C$19,MATCH(B680,Items!$A$5:$A$19,0)),""))</f>
        <v/>
      </c>
      <c r="F680" s="18" t="str">
        <f t="shared" si="60"/>
        <v/>
      </c>
      <c r="G680" s="27"/>
      <c r="H680" s="23" t="str">
        <f>IF(OR(A680="",B680="",D680=""),"",IFERROR(INDEX(Items!$D$5:$D$19,MATCH(B680,Items!$A$5:$A$19,0))+SUMIFS(D$4:D679,B$4:B679,B680),""))</f>
        <v/>
      </c>
      <c r="I680" s="23" t="str">
        <f t="shared" si="61"/>
        <v/>
      </c>
      <c r="J680" s="23" t="str">
        <f t="shared" si="62"/>
        <v/>
      </c>
      <c r="K680" s="18" t="str">
        <f t="shared" si="63"/>
        <v/>
      </c>
      <c r="L680" s="16" t="str">
        <f t="shared" ca="1" si="64"/>
        <v/>
      </c>
      <c r="M680" s="25" t="str">
        <f>IF(H680="","",IF(I680&lt;=0,"Shipped",IF(L680&lt;=AGE30,"Fresh",IF(L680&lt;=AGE60,"Watch",IF(L680&lt;=AGE90,"Aging","Old")))))</f>
        <v/>
      </c>
      <c r="N680" s="16" t="str">
        <f t="shared" si="65"/>
        <v/>
      </c>
    </row>
    <row r="681" spans="1:14" x14ac:dyDescent="0.2">
      <c r="A681" s="32"/>
      <c r="B681" s="27"/>
      <c r="C681" s="15" t="str">
        <f>IF(B681="","",IFERROR(INDEX(Items!$B$5:$B$19,MATCH(B681,Items!$A$5:$A$19,0)),"Unknown code"))</f>
        <v/>
      </c>
      <c r="D681" s="29"/>
      <c r="E681" s="18" t="str">
        <f>IF(B681="","",IFERROR(INDEX(Items!$C$5:$C$19,MATCH(B681,Items!$A$5:$A$19,0)),""))</f>
        <v/>
      </c>
      <c r="F681" s="18" t="str">
        <f t="shared" si="60"/>
        <v/>
      </c>
      <c r="G681" s="27"/>
      <c r="H681" s="23" t="str">
        <f>IF(OR(A681="",B681="",D681=""),"",IFERROR(INDEX(Items!$D$5:$D$19,MATCH(B681,Items!$A$5:$A$19,0))+SUMIFS(D$4:D680,B$4:B680,B681),""))</f>
        <v/>
      </c>
      <c r="I681" s="23" t="str">
        <f t="shared" si="61"/>
        <v/>
      </c>
      <c r="J681" s="23" t="str">
        <f t="shared" si="62"/>
        <v/>
      </c>
      <c r="K681" s="18" t="str">
        <f t="shared" si="63"/>
        <v/>
      </c>
      <c r="L681" s="16" t="str">
        <f t="shared" ca="1" si="64"/>
        <v/>
      </c>
      <c r="M681" s="25" t="str">
        <f>IF(H681="","",IF(I681&lt;=0,"Shipped",IF(L681&lt;=AGE30,"Fresh",IF(L681&lt;=AGE60,"Watch",IF(L681&lt;=AGE90,"Aging","Old")))))</f>
        <v/>
      </c>
      <c r="N681" s="16" t="str">
        <f t="shared" si="65"/>
        <v/>
      </c>
    </row>
    <row r="682" spans="1:14" x14ac:dyDescent="0.2">
      <c r="A682" s="32"/>
      <c r="B682" s="27"/>
      <c r="C682" s="15" t="str">
        <f>IF(B682="","",IFERROR(INDEX(Items!$B$5:$B$19,MATCH(B682,Items!$A$5:$A$19,0)),"Unknown code"))</f>
        <v/>
      </c>
      <c r="D682" s="29"/>
      <c r="E682" s="18" t="str">
        <f>IF(B682="","",IFERROR(INDEX(Items!$C$5:$C$19,MATCH(B682,Items!$A$5:$A$19,0)),""))</f>
        <v/>
      </c>
      <c r="F682" s="18" t="str">
        <f t="shared" si="60"/>
        <v/>
      </c>
      <c r="G682" s="27"/>
      <c r="H682" s="23" t="str">
        <f>IF(OR(A682="",B682="",D682=""),"",IFERROR(INDEX(Items!$D$5:$D$19,MATCH(B682,Items!$A$5:$A$19,0))+SUMIFS(D$4:D681,B$4:B681,B682),""))</f>
        <v/>
      </c>
      <c r="I682" s="23" t="str">
        <f t="shared" si="61"/>
        <v/>
      </c>
      <c r="J682" s="23" t="str">
        <f t="shared" si="62"/>
        <v/>
      </c>
      <c r="K682" s="18" t="str">
        <f t="shared" si="63"/>
        <v/>
      </c>
      <c r="L682" s="16" t="str">
        <f t="shared" ca="1" si="64"/>
        <v/>
      </c>
      <c r="M682" s="25" t="str">
        <f>IF(H682="","",IF(I682&lt;=0,"Shipped",IF(L682&lt;=AGE30,"Fresh",IF(L682&lt;=AGE60,"Watch",IF(L682&lt;=AGE90,"Aging","Old")))))</f>
        <v/>
      </c>
      <c r="N682" s="16" t="str">
        <f t="shared" si="65"/>
        <v/>
      </c>
    </row>
    <row r="683" spans="1:14" x14ac:dyDescent="0.2">
      <c r="A683" s="32"/>
      <c r="B683" s="27"/>
      <c r="C683" s="15" t="str">
        <f>IF(B683="","",IFERROR(INDEX(Items!$B$5:$B$19,MATCH(B683,Items!$A$5:$A$19,0)),"Unknown code"))</f>
        <v/>
      </c>
      <c r="D683" s="29"/>
      <c r="E683" s="18" t="str">
        <f>IF(B683="","",IFERROR(INDEX(Items!$C$5:$C$19,MATCH(B683,Items!$A$5:$A$19,0)),""))</f>
        <v/>
      </c>
      <c r="F683" s="18" t="str">
        <f t="shared" si="60"/>
        <v/>
      </c>
      <c r="G683" s="27"/>
      <c r="H683" s="23" t="str">
        <f>IF(OR(A683="",B683="",D683=""),"",IFERROR(INDEX(Items!$D$5:$D$19,MATCH(B683,Items!$A$5:$A$19,0))+SUMIFS(D$4:D682,B$4:B682,B683),""))</f>
        <v/>
      </c>
      <c r="I683" s="23" t="str">
        <f t="shared" si="61"/>
        <v/>
      </c>
      <c r="J683" s="23" t="str">
        <f t="shared" si="62"/>
        <v/>
      </c>
      <c r="K683" s="18" t="str">
        <f t="shared" si="63"/>
        <v/>
      </c>
      <c r="L683" s="16" t="str">
        <f t="shared" ca="1" si="64"/>
        <v/>
      </c>
      <c r="M683" s="25" t="str">
        <f>IF(H683="","",IF(I683&lt;=0,"Shipped",IF(L683&lt;=AGE30,"Fresh",IF(L683&lt;=AGE60,"Watch",IF(L683&lt;=AGE90,"Aging","Old")))))</f>
        <v/>
      </c>
      <c r="N683" s="16" t="str">
        <f t="shared" si="65"/>
        <v/>
      </c>
    </row>
    <row r="684" spans="1:14" x14ac:dyDescent="0.2">
      <c r="A684" s="32"/>
      <c r="B684" s="27"/>
      <c r="C684" s="15" t="str">
        <f>IF(B684="","",IFERROR(INDEX(Items!$B$5:$B$19,MATCH(B684,Items!$A$5:$A$19,0)),"Unknown code"))</f>
        <v/>
      </c>
      <c r="D684" s="29"/>
      <c r="E684" s="18" t="str">
        <f>IF(B684="","",IFERROR(INDEX(Items!$C$5:$C$19,MATCH(B684,Items!$A$5:$A$19,0)),""))</f>
        <v/>
      </c>
      <c r="F684" s="18" t="str">
        <f t="shared" si="60"/>
        <v/>
      </c>
      <c r="G684" s="27"/>
      <c r="H684" s="23" t="str">
        <f>IF(OR(A684="",B684="",D684=""),"",IFERROR(INDEX(Items!$D$5:$D$19,MATCH(B684,Items!$A$5:$A$19,0))+SUMIFS(D$4:D683,B$4:B683,B684),""))</f>
        <v/>
      </c>
      <c r="I684" s="23" t="str">
        <f t="shared" si="61"/>
        <v/>
      </c>
      <c r="J684" s="23" t="str">
        <f t="shared" si="62"/>
        <v/>
      </c>
      <c r="K684" s="18" t="str">
        <f t="shared" si="63"/>
        <v/>
      </c>
      <c r="L684" s="16" t="str">
        <f t="shared" ca="1" si="64"/>
        <v/>
      </c>
      <c r="M684" s="25" t="str">
        <f>IF(H684="","",IF(I684&lt;=0,"Shipped",IF(L684&lt;=AGE30,"Fresh",IF(L684&lt;=AGE60,"Watch",IF(L684&lt;=AGE90,"Aging","Old")))))</f>
        <v/>
      </c>
      <c r="N684" s="16" t="str">
        <f t="shared" si="65"/>
        <v/>
      </c>
    </row>
    <row r="685" spans="1:14" x14ac:dyDescent="0.2">
      <c r="A685" s="32"/>
      <c r="B685" s="27"/>
      <c r="C685" s="15" t="str">
        <f>IF(B685="","",IFERROR(INDEX(Items!$B$5:$B$19,MATCH(B685,Items!$A$5:$A$19,0)),"Unknown code"))</f>
        <v/>
      </c>
      <c r="D685" s="29"/>
      <c r="E685" s="18" t="str">
        <f>IF(B685="","",IFERROR(INDEX(Items!$C$5:$C$19,MATCH(B685,Items!$A$5:$A$19,0)),""))</f>
        <v/>
      </c>
      <c r="F685" s="18" t="str">
        <f t="shared" si="60"/>
        <v/>
      </c>
      <c r="G685" s="27"/>
      <c r="H685" s="23" t="str">
        <f>IF(OR(A685="",B685="",D685=""),"",IFERROR(INDEX(Items!$D$5:$D$19,MATCH(B685,Items!$A$5:$A$19,0))+SUMIFS(D$4:D684,B$4:B684,B685),""))</f>
        <v/>
      </c>
      <c r="I685" s="23" t="str">
        <f t="shared" si="61"/>
        <v/>
      </c>
      <c r="J685" s="23" t="str">
        <f t="shared" si="62"/>
        <v/>
      </c>
      <c r="K685" s="18" t="str">
        <f t="shared" si="63"/>
        <v/>
      </c>
      <c r="L685" s="16" t="str">
        <f t="shared" ca="1" si="64"/>
        <v/>
      </c>
      <c r="M685" s="25" t="str">
        <f>IF(H685="","",IF(I685&lt;=0,"Shipped",IF(L685&lt;=AGE30,"Fresh",IF(L685&lt;=AGE60,"Watch",IF(L685&lt;=AGE90,"Aging","Old")))))</f>
        <v/>
      </c>
      <c r="N685" s="16" t="str">
        <f t="shared" si="65"/>
        <v/>
      </c>
    </row>
    <row r="686" spans="1:14" x14ac:dyDescent="0.2">
      <c r="A686" s="32"/>
      <c r="B686" s="27"/>
      <c r="C686" s="15" t="str">
        <f>IF(B686="","",IFERROR(INDEX(Items!$B$5:$B$19,MATCH(B686,Items!$A$5:$A$19,0)),"Unknown code"))</f>
        <v/>
      </c>
      <c r="D686" s="29"/>
      <c r="E686" s="18" t="str">
        <f>IF(B686="","",IFERROR(INDEX(Items!$C$5:$C$19,MATCH(B686,Items!$A$5:$A$19,0)),""))</f>
        <v/>
      </c>
      <c r="F686" s="18" t="str">
        <f t="shared" si="60"/>
        <v/>
      </c>
      <c r="G686" s="27"/>
      <c r="H686" s="23" t="str">
        <f>IF(OR(A686="",B686="",D686=""),"",IFERROR(INDEX(Items!$D$5:$D$19,MATCH(B686,Items!$A$5:$A$19,0))+SUMIFS(D$4:D685,B$4:B685,B686),""))</f>
        <v/>
      </c>
      <c r="I686" s="23" t="str">
        <f t="shared" si="61"/>
        <v/>
      </c>
      <c r="J686" s="23" t="str">
        <f t="shared" si="62"/>
        <v/>
      </c>
      <c r="K686" s="18" t="str">
        <f t="shared" si="63"/>
        <v/>
      </c>
      <c r="L686" s="16" t="str">
        <f t="shared" ca="1" si="64"/>
        <v/>
      </c>
      <c r="M686" s="25" t="str">
        <f>IF(H686="","",IF(I686&lt;=0,"Shipped",IF(L686&lt;=AGE30,"Fresh",IF(L686&lt;=AGE60,"Watch",IF(L686&lt;=AGE90,"Aging","Old")))))</f>
        <v/>
      </c>
      <c r="N686" s="16" t="str">
        <f t="shared" si="65"/>
        <v/>
      </c>
    </row>
    <row r="687" spans="1:14" x14ac:dyDescent="0.2">
      <c r="A687" s="32"/>
      <c r="B687" s="27"/>
      <c r="C687" s="15" t="str">
        <f>IF(B687="","",IFERROR(INDEX(Items!$B$5:$B$19,MATCH(B687,Items!$A$5:$A$19,0)),"Unknown code"))</f>
        <v/>
      </c>
      <c r="D687" s="29"/>
      <c r="E687" s="18" t="str">
        <f>IF(B687="","",IFERROR(INDEX(Items!$C$5:$C$19,MATCH(B687,Items!$A$5:$A$19,0)),""))</f>
        <v/>
      </c>
      <c r="F687" s="18" t="str">
        <f t="shared" si="60"/>
        <v/>
      </c>
      <c r="G687" s="27"/>
      <c r="H687" s="23" t="str">
        <f>IF(OR(A687="",B687="",D687=""),"",IFERROR(INDEX(Items!$D$5:$D$19,MATCH(B687,Items!$A$5:$A$19,0))+SUMIFS(D$4:D686,B$4:B686,B687),""))</f>
        <v/>
      </c>
      <c r="I687" s="23" t="str">
        <f t="shared" si="61"/>
        <v/>
      </c>
      <c r="J687" s="23" t="str">
        <f t="shared" si="62"/>
        <v/>
      </c>
      <c r="K687" s="18" t="str">
        <f t="shared" si="63"/>
        <v/>
      </c>
      <c r="L687" s="16" t="str">
        <f t="shared" ca="1" si="64"/>
        <v/>
      </c>
      <c r="M687" s="25" t="str">
        <f>IF(H687="","",IF(I687&lt;=0,"Shipped",IF(L687&lt;=AGE30,"Fresh",IF(L687&lt;=AGE60,"Watch",IF(L687&lt;=AGE90,"Aging","Old")))))</f>
        <v/>
      </c>
      <c r="N687" s="16" t="str">
        <f t="shared" si="65"/>
        <v/>
      </c>
    </row>
    <row r="688" spans="1:14" x14ac:dyDescent="0.2">
      <c r="A688" s="32"/>
      <c r="B688" s="27"/>
      <c r="C688" s="15" t="str">
        <f>IF(B688="","",IFERROR(INDEX(Items!$B$5:$B$19,MATCH(B688,Items!$A$5:$A$19,0)),"Unknown code"))</f>
        <v/>
      </c>
      <c r="D688" s="29"/>
      <c r="E688" s="18" t="str">
        <f>IF(B688="","",IFERROR(INDEX(Items!$C$5:$C$19,MATCH(B688,Items!$A$5:$A$19,0)),""))</f>
        <v/>
      </c>
      <c r="F688" s="18" t="str">
        <f t="shared" si="60"/>
        <v/>
      </c>
      <c r="G688" s="27"/>
      <c r="H688" s="23" t="str">
        <f>IF(OR(A688="",B688="",D688=""),"",IFERROR(INDEX(Items!$D$5:$D$19,MATCH(B688,Items!$A$5:$A$19,0))+SUMIFS(D$4:D687,B$4:B687,B688),""))</f>
        <v/>
      </c>
      <c r="I688" s="23" t="str">
        <f t="shared" si="61"/>
        <v/>
      </c>
      <c r="J688" s="23" t="str">
        <f t="shared" si="62"/>
        <v/>
      </c>
      <c r="K688" s="18" t="str">
        <f t="shared" si="63"/>
        <v/>
      </c>
      <c r="L688" s="16" t="str">
        <f t="shared" ca="1" si="64"/>
        <v/>
      </c>
      <c r="M688" s="25" t="str">
        <f>IF(H688="","",IF(I688&lt;=0,"Shipped",IF(L688&lt;=AGE30,"Fresh",IF(L688&lt;=AGE60,"Watch",IF(L688&lt;=AGE90,"Aging","Old")))))</f>
        <v/>
      </c>
      <c r="N688" s="16" t="str">
        <f t="shared" si="65"/>
        <v/>
      </c>
    </row>
    <row r="689" spans="1:14" x14ac:dyDescent="0.2">
      <c r="A689" s="32"/>
      <c r="B689" s="27"/>
      <c r="C689" s="15" t="str">
        <f>IF(B689="","",IFERROR(INDEX(Items!$B$5:$B$19,MATCH(B689,Items!$A$5:$A$19,0)),"Unknown code"))</f>
        <v/>
      </c>
      <c r="D689" s="29"/>
      <c r="E689" s="18" t="str">
        <f>IF(B689="","",IFERROR(INDEX(Items!$C$5:$C$19,MATCH(B689,Items!$A$5:$A$19,0)),""))</f>
        <v/>
      </c>
      <c r="F689" s="18" t="str">
        <f t="shared" si="60"/>
        <v/>
      </c>
      <c r="G689" s="27"/>
      <c r="H689" s="23" t="str">
        <f>IF(OR(A689="",B689="",D689=""),"",IFERROR(INDEX(Items!$D$5:$D$19,MATCH(B689,Items!$A$5:$A$19,0))+SUMIFS(D$4:D688,B$4:B688,B689),""))</f>
        <v/>
      </c>
      <c r="I689" s="23" t="str">
        <f t="shared" si="61"/>
        <v/>
      </c>
      <c r="J689" s="23" t="str">
        <f t="shared" si="62"/>
        <v/>
      </c>
      <c r="K689" s="18" t="str">
        <f t="shared" si="63"/>
        <v/>
      </c>
      <c r="L689" s="16" t="str">
        <f t="shared" ca="1" si="64"/>
        <v/>
      </c>
      <c r="M689" s="25" t="str">
        <f>IF(H689="","",IF(I689&lt;=0,"Shipped",IF(L689&lt;=AGE30,"Fresh",IF(L689&lt;=AGE60,"Watch",IF(L689&lt;=AGE90,"Aging","Old")))))</f>
        <v/>
      </c>
      <c r="N689" s="16" t="str">
        <f t="shared" si="65"/>
        <v/>
      </c>
    </row>
    <row r="690" spans="1:14" x14ac:dyDescent="0.2">
      <c r="A690" s="32"/>
      <c r="B690" s="27"/>
      <c r="C690" s="15" t="str">
        <f>IF(B690="","",IFERROR(INDEX(Items!$B$5:$B$19,MATCH(B690,Items!$A$5:$A$19,0)),"Unknown code"))</f>
        <v/>
      </c>
      <c r="D690" s="29"/>
      <c r="E690" s="18" t="str">
        <f>IF(B690="","",IFERROR(INDEX(Items!$C$5:$C$19,MATCH(B690,Items!$A$5:$A$19,0)),""))</f>
        <v/>
      </c>
      <c r="F690" s="18" t="str">
        <f t="shared" si="60"/>
        <v/>
      </c>
      <c r="G690" s="27"/>
      <c r="H690" s="23" t="str">
        <f>IF(OR(A690="",B690="",D690=""),"",IFERROR(INDEX(Items!$D$5:$D$19,MATCH(B690,Items!$A$5:$A$19,0))+SUMIFS(D$4:D689,B$4:B689,B690),""))</f>
        <v/>
      </c>
      <c r="I690" s="23" t="str">
        <f t="shared" si="61"/>
        <v/>
      </c>
      <c r="J690" s="23" t="str">
        <f t="shared" si="62"/>
        <v/>
      </c>
      <c r="K690" s="18" t="str">
        <f t="shared" si="63"/>
        <v/>
      </c>
      <c r="L690" s="16" t="str">
        <f t="shared" ca="1" si="64"/>
        <v/>
      </c>
      <c r="M690" s="25" t="str">
        <f>IF(H690="","",IF(I690&lt;=0,"Shipped",IF(L690&lt;=AGE30,"Fresh",IF(L690&lt;=AGE60,"Watch",IF(L690&lt;=AGE90,"Aging","Old")))))</f>
        <v/>
      </c>
      <c r="N690" s="16" t="str">
        <f t="shared" si="65"/>
        <v/>
      </c>
    </row>
    <row r="691" spans="1:14" x14ac:dyDescent="0.2">
      <c r="A691" s="32"/>
      <c r="B691" s="27"/>
      <c r="C691" s="15" t="str">
        <f>IF(B691="","",IFERROR(INDEX(Items!$B$5:$B$19,MATCH(B691,Items!$A$5:$A$19,0)),"Unknown code"))</f>
        <v/>
      </c>
      <c r="D691" s="29"/>
      <c r="E691" s="18" t="str">
        <f>IF(B691="","",IFERROR(INDEX(Items!$C$5:$C$19,MATCH(B691,Items!$A$5:$A$19,0)),""))</f>
        <v/>
      </c>
      <c r="F691" s="18" t="str">
        <f t="shared" si="60"/>
        <v/>
      </c>
      <c r="G691" s="27"/>
      <c r="H691" s="23" t="str">
        <f>IF(OR(A691="",B691="",D691=""),"",IFERROR(INDEX(Items!$D$5:$D$19,MATCH(B691,Items!$A$5:$A$19,0))+SUMIFS(D$4:D690,B$4:B690,B691),""))</f>
        <v/>
      </c>
      <c r="I691" s="23" t="str">
        <f t="shared" si="61"/>
        <v/>
      </c>
      <c r="J691" s="23" t="str">
        <f t="shared" si="62"/>
        <v/>
      </c>
      <c r="K691" s="18" t="str">
        <f t="shared" si="63"/>
        <v/>
      </c>
      <c r="L691" s="16" t="str">
        <f t="shared" ca="1" si="64"/>
        <v/>
      </c>
      <c r="M691" s="25" t="str">
        <f>IF(H691="","",IF(I691&lt;=0,"Shipped",IF(L691&lt;=AGE30,"Fresh",IF(L691&lt;=AGE60,"Watch",IF(L691&lt;=AGE90,"Aging","Old")))))</f>
        <v/>
      </c>
      <c r="N691" s="16" t="str">
        <f t="shared" si="65"/>
        <v/>
      </c>
    </row>
    <row r="692" spans="1:14" x14ac:dyDescent="0.2">
      <c r="A692" s="32"/>
      <c r="B692" s="27"/>
      <c r="C692" s="15" t="str">
        <f>IF(B692="","",IFERROR(INDEX(Items!$B$5:$B$19,MATCH(B692,Items!$A$5:$A$19,0)),"Unknown code"))</f>
        <v/>
      </c>
      <c r="D692" s="29"/>
      <c r="E692" s="18" t="str">
        <f>IF(B692="","",IFERROR(INDEX(Items!$C$5:$C$19,MATCH(B692,Items!$A$5:$A$19,0)),""))</f>
        <v/>
      </c>
      <c r="F692" s="18" t="str">
        <f t="shared" si="60"/>
        <v/>
      </c>
      <c r="G692" s="27"/>
      <c r="H692" s="23" t="str">
        <f>IF(OR(A692="",B692="",D692=""),"",IFERROR(INDEX(Items!$D$5:$D$19,MATCH(B692,Items!$A$5:$A$19,0))+SUMIFS(D$4:D691,B$4:B691,B692),""))</f>
        <v/>
      </c>
      <c r="I692" s="23" t="str">
        <f t="shared" si="61"/>
        <v/>
      </c>
      <c r="J692" s="23" t="str">
        <f t="shared" si="62"/>
        <v/>
      </c>
      <c r="K692" s="18" t="str">
        <f t="shared" si="63"/>
        <v/>
      </c>
      <c r="L692" s="16" t="str">
        <f t="shared" ca="1" si="64"/>
        <v/>
      </c>
      <c r="M692" s="25" t="str">
        <f>IF(H692="","",IF(I692&lt;=0,"Shipped",IF(L692&lt;=AGE30,"Fresh",IF(L692&lt;=AGE60,"Watch",IF(L692&lt;=AGE90,"Aging","Old")))))</f>
        <v/>
      </c>
      <c r="N692" s="16" t="str">
        <f t="shared" si="65"/>
        <v/>
      </c>
    </row>
    <row r="693" spans="1:14" x14ac:dyDescent="0.2">
      <c r="A693" s="32"/>
      <c r="B693" s="27"/>
      <c r="C693" s="15" t="str">
        <f>IF(B693="","",IFERROR(INDEX(Items!$B$5:$B$19,MATCH(B693,Items!$A$5:$A$19,0)),"Unknown code"))</f>
        <v/>
      </c>
      <c r="D693" s="29"/>
      <c r="E693" s="18" t="str">
        <f>IF(B693="","",IFERROR(INDEX(Items!$C$5:$C$19,MATCH(B693,Items!$A$5:$A$19,0)),""))</f>
        <v/>
      </c>
      <c r="F693" s="18" t="str">
        <f t="shared" si="60"/>
        <v/>
      </c>
      <c r="G693" s="27"/>
      <c r="H693" s="23" t="str">
        <f>IF(OR(A693="",B693="",D693=""),"",IFERROR(INDEX(Items!$D$5:$D$19,MATCH(B693,Items!$A$5:$A$19,0))+SUMIFS(D$4:D692,B$4:B692,B693),""))</f>
        <v/>
      </c>
      <c r="I693" s="23" t="str">
        <f t="shared" si="61"/>
        <v/>
      </c>
      <c r="J693" s="23" t="str">
        <f t="shared" si="62"/>
        <v/>
      </c>
      <c r="K693" s="18" t="str">
        <f t="shared" si="63"/>
        <v/>
      </c>
      <c r="L693" s="16" t="str">
        <f t="shared" ca="1" si="64"/>
        <v/>
      </c>
      <c r="M693" s="25" t="str">
        <f>IF(H693="","",IF(I693&lt;=0,"Shipped",IF(L693&lt;=AGE30,"Fresh",IF(L693&lt;=AGE60,"Watch",IF(L693&lt;=AGE90,"Aging","Old")))))</f>
        <v/>
      </c>
      <c r="N693" s="16" t="str">
        <f t="shared" si="65"/>
        <v/>
      </c>
    </row>
    <row r="694" spans="1:14" x14ac:dyDescent="0.2">
      <c r="A694" s="32"/>
      <c r="B694" s="27"/>
      <c r="C694" s="15" t="str">
        <f>IF(B694="","",IFERROR(INDEX(Items!$B$5:$B$19,MATCH(B694,Items!$A$5:$A$19,0)),"Unknown code"))</f>
        <v/>
      </c>
      <c r="D694" s="29"/>
      <c r="E694" s="18" t="str">
        <f>IF(B694="","",IFERROR(INDEX(Items!$C$5:$C$19,MATCH(B694,Items!$A$5:$A$19,0)),""))</f>
        <v/>
      </c>
      <c r="F694" s="18" t="str">
        <f t="shared" si="60"/>
        <v/>
      </c>
      <c r="G694" s="27"/>
      <c r="H694" s="23" t="str">
        <f>IF(OR(A694="",B694="",D694=""),"",IFERROR(INDEX(Items!$D$5:$D$19,MATCH(B694,Items!$A$5:$A$19,0))+SUMIFS(D$4:D693,B$4:B693,B694),""))</f>
        <v/>
      </c>
      <c r="I694" s="23" t="str">
        <f t="shared" si="61"/>
        <v/>
      </c>
      <c r="J694" s="23" t="str">
        <f t="shared" si="62"/>
        <v/>
      </c>
      <c r="K694" s="18" t="str">
        <f t="shared" si="63"/>
        <v/>
      </c>
      <c r="L694" s="16" t="str">
        <f t="shared" ca="1" si="64"/>
        <v/>
      </c>
      <c r="M694" s="25" t="str">
        <f>IF(H694="","",IF(I694&lt;=0,"Shipped",IF(L694&lt;=AGE30,"Fresh",IF(L694&lt;=AGE60,"Watch",IF(L694&lt;=AGE90,"Aging","Old")))))</f>
        <v/>
      </c>
      <c r="N694" s="16" t="str">
        <f t="shared" si="65"/>
        <v/>
      </c>
    </row>
    <row r="695" spans="1:14" x14ac:dyDescent="0.2">
      <c r="A695" s="32"/>
      <c r="B695" s="27"/>
      <c r="C695" s="15" t="str">
        <f>IF(B695="","",IFERROR(INDEX(Items!$B$5:$B$19,MATCH(B695,Items!$A$5:$A$19,0)),"Unknown code"))</f>
        <v/>
      </c>
      <c r="D695" s="29"/>
      <c r="E695" s="18" t="str">
        <f>IF(B695="","",IFERROR(INDEX(Items!$C$5:$C$19,MATCH(B695,Items!$A$5:$A$19,0)),""))</f>
        <v/>
      </c>
      <c r="F695" s="18" t="str">
        <f t="shared" si="60"/>
        <v/>
      </c>
      <c r="G695" s="27"/>
      <c r="H695" s="23" t="str">
        <f>IF(OR(A695="",B695="",D695=""),"",IFERROR(INDEX(Items!$D$5:$D$19,MATCH(B695,Items!$A$5:$A$19,0))+SUMIFS(D$4:D694,B$4:B694,B695),""))</f>
        <v/>
      </c>
      <c r="I695" s="23" t="str">
        <f t="shared" si="61"/>
        <v/>
      </c>
      <c r="J695" s="23" t="str">
        <f t="shared" si="62"/>
        <v/>
      </c>
      <c r="K695" s="18" t="str">
        <f t="shared" si="63"/>
        <v/>
      </c>
      <c r="L695" s="16" t="str">
        <f t="shared" ca="1" si="64"/>
        <v/>
      </c>
      <c r="M695" s="25" t="str">
        <f>IF(H695="","",IF(I695&lt;=0,"Shipped",IF(L695&lt;=AGE30,"Fresh",IF(L695&lt;=AGE60,"Watch",IF(L695&lt;=AGE90,"Aging","Old")))))</f>
        <v/>
      </c>
      <c r="N695" s="16" t="str">
        <f t="shared" si="65"/>
        <v/>
      </c>
    </row>
    <row r="696" spans="1:14" x14ac:dyDescent="0.2">
      <c r="A696" s="32"/>
      <c r="B696" s="27"/>
      <c r="C696" s="15" t="str">
        <f>IF(B696="","",IFERROR(INDEX(Items!$B$5:$B$19,MATCH(B696,Items!$A$5:$A$19,0)),"Unknown code"))</f>
        <v/>
      </c>
      <c r="D696" s="29"/>
      <c r="E696" s="18" t="str">
        <f>IF(B696="","",IFERROR(INDEX(Items!$C$5:$C$19,MATCH(B696,Items!$A$5:$A$19,0)),""))</f>
        <v/>
      </c>
      <c r="F696" s="18" t="str">
        <f t="shared" si="60"/>
        <v/>
      </c>
      <c r="G696" s="27"/>
      <c r="H696" s="23" t="str">
        <f>IF(OR(A696="",B696="",D696=""),"",IFERROR(INDEX(Items!$D$5:$D$19,MATCH(B696,Items!$A$5:$A$19,0))+SUMIFS(D$4:D695,B$4:B695,B696),""))</f>
        <v/>
      </c>
      <c r="I696" s="23" t="str">
        <f t="shared" si="61"/>
        <v/>
      </c>
      <c r="J696" s="23" t="str">
        <f t="shared" si="62"/>
        <v/>
      </c>
      <c r="K696" s="18" t="str">
        <f t="shared" si="63"/>
        <v/>
      </c>
      <c r="L696" s="16" t="str">
        <f t="shared" ca="1" si="64"/>
        <v/>
      </c>
      <c r="M696" s="25" t="str">
        <f>IF(H696="","",IF(I696&lt;=0,"Shipped",IF(L696&lt;=AGE30,"Fresh",IF(L696&lt;=AGE60,"Watch",IF(L696&lt;=AGE90,"Aging","Old")))))</f>
        <v/>
      </c>
      <c r="N696" s="16" t="str">
        <f t="shared" si="65"/>
        <v/>
      </c>
    </row>
    <row r="697" spans="1:14" x14ac:dyDescent="0.2">
      <c r="A697" s="32"/>
      <c r="B697" s="27"/>
      <c r="C697" s="15" t="str">
        <f>IF(B697="","",IFERROR(INDEX(Items!$B$5:$B$19,MATCH(B697,Items!$A$5:$A$19,0)),"Unknown code"))</f>
        <v/>
      </c>
      <c r="D697" s="29"/>
      <c r="E697" s="18" t="str">
        <f>IF(B697="","",IFERROR(INDEX(Items!$C$5:$C$19,MATCH(B697,Items!$A$5:$A$19,0)),""))</f>
        <v/>
      </c>
      <c r="F697" s="18" t="str">
        <f t="shared" si="60"/>
        <v/>
      </c>
      <c r="G697" s="27"/>
      <c r="H697" s="23" t="str">
        <f>IF(OR(A697="",B697="",D697=""),"",IFERROR(INDEX(Items!$D$5:$D$19,MATCH(B697,Items!$A$5:$A$19,0))+SUMIFS(D$4:D696,B$4:B696,B697),""))</f>
        <v/>
      </c>
      <c r="I697" s="23" t="str">
        <f t="shared" si="61"/>
        <v/>
      </c>
      <c r="J697" s="23" t="str">
        <f t="shared" si="62"/>
        <v/>
      </c>
      <c r="K697" s="18" t="str">
        <f t="shared" si="63"/>
        <v/>
      </c>
      <c r="L697" s="16" t="str">
        <f t="shared" ca="1" si="64"/>
        <v/>
      </c>
      <c r="M697" s="25" t="str">
        <f>IF(H697="","",IF(I697&lt;=0,"Shipped",IF(L697&lt;=AGE30,"Fresh",IF(L697&lt;=AGE60,"Watch",IF(L697&lt;=AGE90,"Aging","Old")))))</f>
        <v/>
      </c>
      <c r="N697" s="16" t="str">
        <f t="shared" si="65"/>
        <v/>
      </c>
    </row>
    <row r="698" spans="1:14" x14ac:dyDescent="0.2">
      <c r="A698" s="32"/>
      <c r="B698" s="27"/>
      <c r="C698" s="15" t="str">
        <f>IF(B698="","",IFERROR(INDEX(Items!$B$5:$B$19,MATCH(B698,Items!$A$5:$A$19,0)),"Unknown code"))</f>
        <v/>
      </c>
      <c r="D698" s="29"/>
      <c r="E698" s="18" t="str">
        <f>IF(B698="","",IFERROR(INDEX(Items!$C$5:$C$19,MATCH(B698,Items!$A$5:$A$19,0)),""))</f>
        <v/>
      </c>
      <c r="F698" s="18" t="str">
        <f t="shared" si="60"/>
        <v/>
      </c>
      <c r="G698" s="27"/>
      <c r="H698" s="23" t="str">
        <f>IF(OR(A698="",B698="",D698=""),"",IFERROR(INDEX(Items!$D$5:$D$19,MATCH(B698,Items!$A$5:$A$19,0))+SUMIFS(D$4:D697,B$4:B697,B698),""))</f>
        <v/>
      </c>
      <c r="I698" s="23" t="str">
        <f t="shared" si="61"/>
        <v/>
      </c>
      <c r="J698" s="23" t="str">
        <f t="shared" si="62"/>
        <v/>
      </c>
      <c r="K698" s="18" t="str">
        <f t="shared" si="63"/>
        <v/>
      </c>
      <c r="L698" s="16" t="str">
        <f t="shared" ca="1" si="64"/>
        <v/>
      </c>
      <c r="M698" s="25" t="str">
        <f>IF(H698="","",IF(I698&lt;=0,"Shipped",IF(L698&lt;=AGE30,"Fresh",IF(L698&lt;=AGE60,"Watch",IF(L698&lt;=AGE90,"Aging","Old")))))</f>
        <v/>
      </c>
      <c r="N698" s="16" t="str">
        <f t="shared" si="65"/>
        <v/>
      </c>
    </row>
    <row r="699" spans="1:14" x14ac:dyDescent="0.2">
      <c r="A699" s="32"/>
      <c r="B699" s="27"/>
      <c r="C699" s="15" t="str">
        <f>IF(B699="","",IFERROR(INDEX(Items!$B$5:$B$19,MATCH(B699,Items!$A$5:$A$19,0)),"Unknown code"))</f>
        <v/>
      </c>
      <c r="D699" s="29"/>
      <c r="E699" s="18" t="str">
        <f>IF(B699="","",IFERROR(INDEX(Items!$C$5:$C$19,MATCH(B699,Items!$A$5:$A$19,0)),""))</f>
        <v/>
      </c>
      <c r="F699" s="18" t="str">
        <f t="shared" si="60"/>
        <v/>
      </c>
      <c r="G699" s="27"/>
      <c r="H699" s="23" t="str">
        <f>IF(OR(A699="",B699="",D699=""),"",IFERROR(INDEX(Items!$D$5:$D$19,MATCH(B699,Items!$A$5:$A$19,0))+SUMIFS(D$4:D698,B$4:B698,B699),""))</f>
        <v/>
      </c>
      <c r="I699" s="23" t="str">
        <f t="shared" si="61"/>
        <v/>
      </c>
      <c r="J699" s="23" t="str">
        <f t="shared" si="62"/>
        <v/>
      </c>
      <c r="K699" s="18" t="str">
        <f t="shared" si="63"/>
        <v/>
      </c>
      <c r="L699" s="16" t="str">
        <f t="shared" ca="1" si="64"/>
        <v/>
      </c>
      <c r="M699" s="25" t="str">
        <f>IF(H699="","",IF(I699&lt;=0,"Shipped",IF(L699&lt;=AGE30,"Fresh",IF(L699&lt;=AGE60,"Watch",IF(L699&lt;=AGE90,"Aging","Old")))))</f>
        <v/>
      </c>
      <c r="N699" s="16" t="str">
        <f t="shared" si="65"/>
        <v/>
      </c>
    </row>
    <row r="700" spans="1:14" x14ac:dyDescent="0.2">
      <c r="A700" s="32"/>
      <c r="B700" s="27"/>
      <c r="C700" s="15" t="str">
        <f>IF(B700="","",IFERROR(INDEX(Items!$B$5:$B$19,MATCH(B700,Items!$A$5:$A$19,0)),"Unknown code"))</f>
        <v/>
      </c>
      <c r="D700" s="29"/>
      <c r="E700" s="18" t="str">
        <f>IF(B700="","",IFERROR(INDEX(Items!$C$5:$C$19,MATCH(B700,Items!$A$5:$A$19,0)),""))</f>
        <v/>
      </c>
      <c r="F700" s="18" t="str">
        <f t="shared" si="60"/>
        <v/>
      </c>
      <c r="G700" s="27"/>
      <c r="H700" s="23" t="str">
        <f>IF(OR(A700="",B700="",D700=""),"",IFERROR(INDEX(Items!$D$5:$D$19,MATCH(B700,Items!$A$5:$A$19,0))+SUMIFS(D$4:D699,B$4:B699,B700),""))</f>
        <v/>
      </c>
      <c r="I700" s="23" t="str">
        <f t="shared" si="61"/>
        <v/>
      </c>
      <c r="J700" s="23" t="str">
        <f t="shared" si="62"/>
        <v/>
      </c>
      <c r="K700" s="18" t="str">
        <f t="shared" si="63"/>
        <v/>
      </c>
      <c r="L700" s="16" t="str">
        <f t="shared" ca="1" si="64"/>
        <v/>
      </c>
      <c r="M700" s="25" t="str">
        <f>IF(H700="","",IF(I700&lt;=0,"Shipped",IF(L700&lt;=AGE30,"Fresh",IF(L700&lt;=AGE60,"Watch",IF(L700&lt;=AGE90,"Aging","Old")))))</f>
        <v/>
      </c>
      <c r="N700" s="16" t="str">
        <f t="shared" si="65"/>
        <v/>
      </c>
    </row>
    <row r="701" spans="1:14" x14ac:dyDescent="0.2">
      <c r="A701" s="32"/>
      <c r="B701" s="27"/>
      <c r="C701" s="15" t="str">
        <f>IF(B701="","",IFERROR(INDEX(Items!$B$5:$B$19,MATCH(B701,Items!$A$5:$A$19,0)),"Unknown code"))</f>
        <v/>
      </c>
      <c r="D701" s="29"/>
      <c r="E701" s="18" t="str">
        <f>IF(B701="","",IFERROR(INDEX(Items!$C$5:$C$19,MATCH(B701,Items!$A$5:$A$19,0)),""))</f>
        <v/>
      </c>
      <c r="F701" s="18" t="str">
        <f t="shared" si="60"/>
        <v/>
      </c>
      <c r="G701" s="27"/>
      <c r="H701" s="23" t="str">
        <f>IF(OR(A701="",B701="",D701=""),"",IFERROR(INDEX(Items!$D$5:$D$19,MATCH(B701,Items!$A$5:$A$19,0))+SUMIFS(D$4:D700,B$4:B700,B701),""))</f>
        <v/>
      </c>
      <c r="I701" s="23" t="str">
        <f t="shared" si="61"/>
        <v/>
      </c>
      <c r="J701" s="23" t="str">
        <f t="shared" si="62"/>
        <v/>
      </c>
      <c r="K701" s="18" t="str">
        <f t="shared" si="63"/>
        <v/>
      </c>
      <c r="L701" s="16" t="str">
        <f t="shared" ca="1" si="64"/>
        <v/>
      </c>
      <c r="M701" s="25" t="str">
        <f>IF(H701="","",IF(I701&lt;=0,"Shipped",IF(L701&lt;=AGE30,"Fresh",IF(L701&lt;=AGE60,"Watch",IF(L701&lt;=AGE90,"Aging","Old")))))</f>
        <v/>
      </c>
      <c r="N701" s="16" t="str">
        <f t="shared" si="65"/>
        <v/>
      </c>
    </row>
    <row r="702" spans="1:14" x14ac:dyDescent="0.2">
      <c r="A702" s="32"/>
      <c r="B702" s="27"/>
      <c r="C702" s="15" t="str">
        <f>IF(B702="","",IFERROR(INDEX(Items!$B$5:$B$19,MATCH(B702,Items!$A$5:$A$19,0)),"Unknown code"))</f>
        <v/>
      </c>
      <c r="D702" s="29"/>
      <c r="E702" s="18" t="str">
        <f>IF(B702="","",IFERROR(INDEX(Items!$C$5:$C$19,MATCH(B702,Items!$A$5:$A$19,0)),""))</f>
        <v/>
      </c>
      <c r="F702" s="18" t="str">
        <f t="shared" si="60"/>
        <v/>
      </c>
      <c r="G702" s="27"/>
      <c r="H702" s="23" t="str">
        <f>IF(OR(A702="",B702="",D702=""),"",IFERROR(INDEX(Items!$D$5:$D$19,MATCH(B702,Items!$A$5:$A$19,0))+SUMIFS(D$4:D701,B$4:B701,B702),""))</f>
        <v/>
      </c>
      <c r="I702" s="23" t="str">
        <f t="shared" si="61"/>
        <v/>
      </c>
      <c r="J702" s="23" t="str">
        <f t="shared" si="62"/>
        <v/>
      </c>
      <c r="K702" s="18" t="str">
        <f t="shared" si="63"/>
        <v/>
      </c>
      <c r="L702" s="16" t="str">
        <f t="shared" ca="1" si="64"/>
        <v/>
      </c>
      <c r="M702" s="25" t="str">
        <f>IF(H702="","",IF(I702&lt;=0,"Shipped",IF(L702&lt;=AGE30,"Fresh",IF(L702&lt;=AGE60,"Watch",IF(L702&lt;=AGE90,"Aging","Old")))))</f>
        <v/>
      </c>
      <c r="N702" s="16" t="str">
        <f t="shared" si="65"/>
        <v/>
      </c>
    </row>
    <row r="703" spans="1:14" x14ac:dyDescent="0.2">
      <c r="A703" s="32"/>
      <c r="B703" s="27"/>
      <c r="C703" s="15" t="str">
        <f>IF(B703="","",IFERROR(INDEX(Items!$B$5:$B$19,MATCH(B703,Items!$A$5:$A$19,0)),"Unknown code"))</f>
        <v/>
      </c>
      <c r="D703" s="29"/>
      <c r="E703" s="18" t="str">
        <f>IF(B703="","",IFERROR(INDEX(Items!$C$5:$C$19,MATCH(B703,Items!$A$5:$A$19,0)),""))</f>
        <v/>
      </c>
      <c r="F703" s="18" t="str">
        <f t="shared" si="60"/>
        <v/>
      </c>
      <c r="G703" s="27"/>
      <c r="H703" s="23" t="str">
        <f>IF(OR(A703="",B703="",D703=""),"",IFERROR(INDEX(Items!$D$5:$D$19,MATCH(B703,Items!$A$5:$A$19,0))+SUMIFS(D$4:D702,B$4:B702,B703),""))</f>
        <v/>
      </c>
      <c r="I703" s="23" t="str">
        <f t="shared" si="61"/>
        <v/>
      </c>
      <c r="J703" s="23" t="str">
        <f t="shared" si="62"/>
        <v/>
      </c>
      <c r="K703" s="18" t="str">
        <f t="shared" si="63"/>
        <v/>
      </c>
      <c r="L703" s="16" t="str">
        <f t="shared" ca="1" si="64"/>
        <v/>
      </c>
      <c r="M703" s="25" t="str">
        <f>IF(H703="","",IF(I703&lt;=0,"Shipped",IF(L703&lt;=AGE30,"Fresh",IF(L703&lt;=AGE60,"Watch",IF(L703&lt;=AGE90,"Aging","Old")))))</f>
        <v/>
      </c>
      <c r="N703" s="16" t="str">
        <f t="shared" si="65"/>
        <v/>
      </c>
    </row>
    <row r="704" spans="1:14" x14ac:dyDescent="0.2">
      <c r="A704" s="32"/>
      <c r="B704" s="27"/>
      <c r="C704" s="15" t="str">
        <f>IF(B704="","",IFERROR(INDEX(Items!$B$5:$B$19,MATCH(B704,Items!$A$5:$A$19,0)),"Unknown code"))</f>
        <v/>
      </c>
      <c r="D704" s="29"/>
      <c r="E704" s="18" t="str">
        <f>IF(B704="","",IFERROR(INDEX(Items!$C$5:$C$19,MATCH(B704,Items!$A$5:$A$19,0)),""))</f>
        <v/>
      </c>
      <c r="F704" s="18" t="str">
        <f t="shared" si="60"/>
        <v/>
      </c>
      <c r="G704" s="27"/>
      <c r="H704" s="23" t="str">
        <f>IF(OR(A704="",B704="",D704=""),"",IFERROR(INDEX(Items!$D$5:$D$19,MATCH(B704,Items!$A$5:$A$19,0))+SUMIFS(D$4:D703,B$4:B703,B704),""))</f>
        <v/>
      </c>
      <c r="I704" s="23" t="str">
        <f t="shared" si="61"/>
        <v/>
      </c>
      <c r="J704" s="23" t="str">
        <f t="shared" si="62"/>
        <v/>
      </c>
      <c r="K704" s="18" t="str">
        <f t="shared" si="63"/>
        <v/>
      </c>
      <c r="L704" s="16" t="str">
        <f t="shared" ca="1" si="64"/>
        <v/>
      </c>
      <c r="M704" s="25" t="str">
        <f>IF(H704="","",IF(I704&lt;=0,"Shipped",IF(L704&lt;=AGE30,"Fresh",IF(L704&lt;=AGE60,"Watch",IF(L704&lt;=AGE90,"Aging","Old")))))</f>
        <v/>
      </c>
      <c r="N704" s="16" t="str">
        <f t="shared" si="65"/>
        <v/>
      </c>
    </row>
    <row r="705" spans="1:14" x14ac:dyDescent="0.2">
      <c r="A705" s="32"/>
      <c r="B705" s="27"/>
      <c r="C705" s="15" t="str">
        <f>IF(B705="","",IFERROR(INDEX(Items!$B$5:$B$19,MATCH(B705,Items!$A$5:$A$19,0)),"Unknown code"))</f>
        <v/>
      </c>
      <c r="D705" s="29"/>
      <c r="E705" s="18" t="str">
        <f>IF(B705="","",IFERROR(INDEX(Items!$C$5:$C$19,MATCH(B705,Items!$A$5:$A$19,0)),""))</f>
        <v/>
      </c>
      <c r="F705" s="18" t="str">
        <f t="shared" si="60"/>
        <v/>
      </c>
      <c r="G705" s="27"/>
      <c r="H705" s="23" t="str">
        <f>IF(OR(A705="",B705="",D705=""),"",IFERROR(INDEX(Items!$D$5:$D$19,MATCH(B705,Items!$A$5:$A$19,0))+SUMIFS(D$4:D704,B$4:B704,B705),""))</f>
        <v/>
      </c>
      <c r="I705" s="23" t="str">
        <f t="shared" si="61"/>
        <v/>
      </c>
      <c r="J705" s="23" t="str">
        <f t="shared" si="62"/>
        <v/>
      </c>
      <c r="K705" s="18" t="str">
        <f t="shared" si="63"/>
        <v/>
      </c>
      <c r="L705" s="16" t="str">
        <f t="shared" ca="1" si="64"/>
        <v/>
      </c>
      <c r="M705" s="25" t="str">
        <f>IF(H705="","",IF(I705&lt;=0,"Shipped",IF(L705&lt;=AGE30,"Fresh",IF(L705&lt;=AGE60,"Watch",IF(L705&lt;=AGE90,"Aging","Old")))))</f>
        <v/>
      </c>
      <c r="N705" s="16" t="str">
        <f t="shared" si="65"/>
        <v/>
      </c>
    </row>
    <row r="706" spans="1:14" x14ac:dyDescent="0.2">
      <c r="A706" s="32"/>
      <c r="B706" s="27"/>
      <c r="C706" s="15" t="str">
        <f>IF(B706="","",IFERROR(INDEX(Items!$B$5:$B$19,MATCH(B706,Items!$A$5:$A$19,0)),"Unknown code"))</f>
        <v/>
      </c>
      <c r="D706" s="29"/>
      <c r="E706" s="18" t="str">
        <f>IF(B706="","",IFERROR(INDEX(Items!$C$5:$C$19,MATCH(B706,Items!$A$5:$A$19,0)),""))</f>
        <v/>
      </c>
      <c r="F706" s="18" t="str">
        <f t="shared" si="60"/>
        <v/>
      </c>
      <c r="G706" s="27"/>
      <c r="H706" s="23" t="str">
        <f>IF(OR(A706="",B706="",D706=""),"",IFERROR(INDEX(Items!$D$5:$D$19,MATCH(B706,Items!$A$5:$A$19,0))+SUMIFS(D$4:D705,B$4:B705,B706),""))</f>
        <v/>
      </c>
      <c r="I706" s="23" t="str">
        <f t="shared" si="61"/>
        <v/>
      </c>
      <c r="J706" s="23" t="str">
        <f t="shared" si="62"/>
        <v/>
      </c>
      <c r="K706" s="18" t="str">
        <f t="shared" si="63"/>
        <v/>
      </c>
      <c r="L706" s="16" t="str">
        <f t="shared" ca="1" si="64"/>
        <v/>
      </c>
      <c r="M706" s="25" t="str">
        <f>IF(H706="","",IF(I706&lt;=0,"Shipped",IF(L706&lt;=AGE30,"Fresh",IF(L706&lt;=AGE60,"Watch",IF(L706&lt;=AGE90,"Aging","Old")))))</f>
        <v/>
      </c>
      <c r="N706" s="16" t="str">
        <f t="shared" si="65"/>
        <v/>
      </c>
    </row>
    <row r="707" spans="1:14" x14ac:dyDescent="0.2">
      <c r="A707" s="32"/>
      <c r="B707" s="27"/>
      <c r="C707" s="15" t="str">
        <f>IF(B707="","",IFERROR(INDEX(Items!$B$5:$B$19,MATCH(B707,Items!$A$5:$A$19,0)),"Unknown code"))</f>
        <v/>
      </c>
      <c r="D707" s="29"/>
      <c r="E707" s="18" t="str">
        <f>IF(B707="","",IFERROR(INDEX(Items!$C$5:$C$19,MATCH(B707,Items!$A$5:$A$19,0)),""))</f>
        <v/>
      </c>
      <c r="F707" s="18" t="str">
        <f t="shared" si="60"/>
        <v/>
      </c>
      <c r="G707" s="27"/>
      <c r="H707" s="23" t="str">
        <f>IF(OR(A707="",B707="",D707=""),"",IFERROR(INDEX(Items!$D$5:$D$19,MATCH(B707,Items!$A$5:$A$19,0))+SUMIFS(D$4:D706,B$4:B706,B707),""))</f>
        <v/>
      </c>
      <c r="I707" s="23" t="str">
        <f t="shared" si="61"/>
        <v/>
      </c>
      <c r="J707" s="23" t="str">
        <f t="shared" si="62"/>
        <v/>
      </c>
      <c r="K707" s="18" t="str">
        <f t="shared" si="63"/>
        <v/>
      </c>
      <c r="L707" s="16" t="str">
        <f t="shared" ca="1" si="64"/>
        <v/>
      </c>
      <c r="M707" s="25" t="str">
        <f>IF(H707="","",IF(I707&lt;=0,"Shipped",IF(L707&lt;=AGE30,"Fresh",IF(L707&lt;=AGE60,"Watch",IF(L707&lt;=AGE90,"Aging","Old")))))</f>
        <v/>
      </c>
      <c r="N707" s="16" t="str">
        <f t="shared" si="65"/>
        <v/>
      </c>
    </row>
    <row r="708" spans="1:14" x14ac:dyDescent="0.2">
      <c r="A708" s="32"/>
      <c r="B708" s="27"/>
      <c r="C708" s="15" t="str">
        <f>IF(B708="","",IFERROR(INDEX(Items!$B$5:$B$19,MATCH(B708,Items!$A$5:$A$19,0)),"Unknown code"))</f>
        <v/>
      </c>
      <c r="D708" s="29"/>
      <c r="E708" s="18" t="str">
        <f>IF(B708="","",IFERROR(INDEX(Items!$C$5:$C$19,MATCH(B708,Items!$A$5:$A$19,0)),""))</f>
        <v/>
      </c>
      <c r="F708" s="18" t="str">
        <f t="shared" si="60"/>
        <v/>
      </c>
      <c r="G708" s="27"/>
      <c r="H708" s="23" t="str">
        <f>IF(OR(A708="",B708="",D708=""),"",IFERROR(INDEX(Items!$D$5:$D$19,MATCH(B708,Items!$A$5:$A$19,0))+SUMIFS(D$4:D707,B$4:B707,B708),""))</f>
        <v/>
      </c>
      <c r="I708" s="23" t="str">
        <f t="shared" si="61"/>
        <v/>
      </c>
      <c r="J708" s="23" t="str">
        <f t="shared" si="62"/>
        <v/>
      </c>
      <c r="K708" s="18" t="str">
        <f t="shared" si="63"/>
        <v/>
      </c>
      <c r="L708" s="16" t="str">
        <f t="shared" ca="1" si="64"/>
        <v/>
      </c>
      <c r="M708" s="25" t="str">
        <f>IF(H708="","",IF(I708&lt;=0,"Shipped",IF(L708&lt;=AGE30,"Fresh",IF(L708&lt;=AGE60,"Watch",IF(L708&lt;=AGE90,"Aging","Old")))))</f>
        <v/>
      </c>
      <c r="N708" s="16" t="str">
        <f t="shared" si="65"/>
        <v/>
      </c>
    </row>
    <row r="709" spans="1:14" x14ac:dyDescent="0.2">
      <c r="A709" s="32"/>
      <c r="B709" s="27"/>
      <c r="C709" s="15" t="str">
        <f>IF(B709="","",IFERROR(INDEX(Items!$B$5:$B$19,MATCH(B709,Items!$A$5:$A$19,0)),"Unknown code"))</f>
        <v/>
      </c>
      <c r="D709" s="29"/>
      <c r="E709" s="18" t="str">
        <f>IF(B709="","",IFERROR(INDEX(Items!$C$5:$C$19,MATCH(B709,Items!$A$5:$A$19,0)),""))</f>
        <v/>
      </c>
      <c r="F709" s="18" t="str">
        <f t="shared" ref="F709:F772" si="66">IF(OR(D709="",E709=""),"",D709*E709)</f>
        <v/>
      </c>
      <c r="G709" s="27"/>
      <c r="H709" s="23" t="str">
        <f>IF(OR(A709="",B709="",D709=""),"",IFERROR(INDEX(Items!$D$5:$D$19,MATCH(B709,Items!$A$5:$A$19,0))+SUMIFS(D$4:D708,B$4:B708,B709),""))</f>
        <v/>
      </c>
      <c r="I709" s="23" t="str">
        <f t="shared" ref="I709:I772" si="67">IF(H709="","",MAX(0,MIN(D709,H709+D709-TotalShipped)))</f>
        <v/>
      </c>
      <c r="J709" s="23" t="str">
        <f t="shared" ref="J709:J772" si="68">IF(H709="","",D709-I709)</f>
        <v/>
      </c>
      <c r="K709" s="18" t="str">
        <f t="shared" ref="K709:K772" si="69">IF(OR(H709="",E709=""),"",I709*E709)</f>
        <v/>
      </c>
      <c r="L709" s="16" t="str">
        <f t="shared" ref="L709:L772" ca="1" si="70">IF(H709="","",IF(I709&gt;0,TODAY()-A709,""))</f>
        <v/>
      </c>
      <c r="M709" s="25" t="str">
        <f>IF(H709="","",IF(I709&lt;=0,"Shipped",IF(L709&lt;=AGE30,"Fresh",IF(L709&lt;=AGE60,"Watch",IF(L709&lt;=AGE90,"Aging","Old")))))</f>
        <v/>
      </c>
      <c r="N709" s="16" t="str">
        <f t="shared" ref="N709:N772" si="71">IF(H709="","",J709*A709)</f>
        <v/>
      </c>
    </row>
    <row r="710" spans="1:14" x14ac:dyDescent="0.2">
      <c r="A710" s="32"/>
      <c r="B710" s="27"/>
      <c r="C710" s="15" t="str">
        <f>IF(B710="","",IFERROR(INDEX(Items!$B$5:$B$19,MATCH(B710,Items!$A$5:$A$19,0)),"Unknown code"))</f>
        <v/>
      </c>
      <c r="D710" s="29"/>
      <c r="E710" s="18" t="str">
        <f>IF(B710="","",IFERROR(INDEX(Items!$C$5:$C$19,MATCH(B710,Items!$A$5:$A$19,0)),""))</f>
        <v/>
      </c>
      <c r="F710" s="18" t="str">
        <f t="shared" si="66"/>
        <v/>
      </c>
      <c r="G710" s="27"/>
      <c r="H710" s="23" t="str">
        <f>IF(OR(A710="",B710="",D710=""),"",IFERROR(INDEX(Items!$D$5:$D$19,MATCH(B710,Items!$A$5:$A$19,0))+SUMIFS(D$4:D709,B$4:B709,B710),""))</f>
        <v/>
      </c>
      <c r="I710" s="23" t="str">
        <f t="shared" si="67"/>
        <v/>
      </c>
      <c r="J710" s="23" t="str">
        <f t="shared" si="68"/>
        <v/>
      </c>
      <c r="K710" s="18" t="str">
        <f t="shared" si="69"/>
        <v/>
      </c>
      <c r="L710" s="16" t="str">
        <f t="shared" ca="1" si="70"/>
        <v/>
      </c>
      <c r="M710" s="25" t="str">
        <f>IF(H710="","",IF(I710&lt;=0,"Shipped",IF(L710&lt;=AGE30,"Fresh",IF(L710&lt;=AGE60,"Watch",IF(L710&lt;=AGE90,"Aging","Old")))))</f>
        <v/>
      </c>
      <c r="N710" s="16" t="str">
        <f t="shared" si="71"/>
        <v/>
      </c>
    </row>
    <row r="711" spans="1:14" x14ac:dyDescent="0.2">
      <c r="A711" s="32"/>
      <c r="B711" s="27"/>
      <c r="C711" s="15" t="str">
        <f>IF(B711="","",IFERROR(INDEX(Items!$B$5:$B$19,MATCH(B711,Items!$A$5:$A$19,0)),"Unknown code"))</f>
        <v/>
      </c>
      <c r="D711" s="29"/>
      <c r="E711" s="18" t="str">
        <f>IF(B711="","",IFERROR(INDEX(Items!$C$5:$C$19,MATCH(B711,Items!$A$5:$A$19,0)),""))</f>
        <v/>
      </c>
      <c r="F711" s="18" t="str">
        <f t="shared" si="66"/>
        <v/>
      </c>
      <c r="G711" s="27"/>
      <c r="H711" s="23" t="str">
        <f>IF(OR(A711="",B711="",D711=""),"",IFERROR(INDEX(Items!$D$5:$D$19,MATCH(B711,Items!$A$5:$A$19,0))+SUMIFS(D$4:D710,B$4:B710,B711),""))</f>
        <v/>
      </c>
      <c r="I711" s="23" t="str">
        <f t="shared" si="67"/>
        <v/>
      </c>
      <c r="J711" s="23" t="str">
        <f t="shared" si="68"/>
        <v/>
      </c>
      <c r="K711" s="18" t="str">
        <f t="shared" si="69"/>
        <v/>
      </c>
      <c r="L711" s="16" t="str">
        <f t="shared" ca="1" si="70"/>
        <v/>
      </c>
      <c r="M711" s="25" t="str">
        <f>IF(H711="","",IF(I711&lt;=0,"Shipped",IF(L711&lt;=AGE30,"Fresh",IF(L711&lt;=AGE60,"Watch",IF(L711&lt;=AGE90,"Aging","Old")))))</f>
        <v/>
      </c>
      <c r="N711" s="16" t="str">
        <f t="shared" si="71"/>
        <v/>
      </c>
    </row>
    <row r="712" spans="1:14" x14ac:dyDescent="0.2">
      <c r="A712" s="32"/>
      <c r="B712" s="27"/>
      <c r="C712" s="15" t="str">
        <f>IF(B712="","",IFERROR(INDEX(Items!$B$5:$B$19,MATCH(B712,Items!$A$5:$A$19,0)),"Unknown code"))</f>
        <v/>
      </c>
      <c r="D712" s="29"/>
      <c r="E712" s="18" t="str">
        <f>IF(B712="","",IFERROR(INDEX(Items!$C$5:$C$19,MATCH(B712,Items!$A$5:$A$19,0)),""))</f>
        <v/>
      </c>
      <c r="F712" s="18" t="str">
        <f t="shared" si="66"/>
        <v/>
      </c>
      <c r="G712" s="27"/>
      <c r="H712" s="23" t="str">
        <f>IF(OR(A712="",B712="",D712=""),"",IFERROR(INDEX(Items!$D$5:$D$19,MATCH(B712,Items!$A$5:$A$19,0))+SUMIFS(D$4:D711,B$4:B711,B712),""))</f>
        <v/>
      </c>
      <c r="I712" s="23" t="str">
        <f t="shared" si="67"/>
        <v/>
      </c>
      <c r="J712" s="23" t="str">
        <f t="shared" si="68"/>
        <v/>
      </c>
      <c r="K712" s="18" t="str">
        <f t="shared" si="69"/>
        <v/>
      </c>
      <c r="L712" s="16" t="str">
        <f t="shared" ca="1" si="70"/>
        <v/>
      </c>
      <c r="M712" s="25" t="str">
        <f>IF(H712="","",IF(I712&lt;=0,"Shipped",IF(L712&lt;=AGE30,"Fresh",IF(L712&lt;=AGE60,"Watch",IF(L712&lt;=AGE90,"Aging","Old")))))</f>
        <v/>
      </c>
      <c r="N712" s="16" t="str">
        <f t="shared" si="71"/>
        <v/>
      </c>
    </row>
    <row r="713" spans="1:14" x14ac:dyDescent="0.2">
      <c r="A713" s="32"/>
      <c r="B713" s="27"/>
      <c r="C713" s="15" t="str">
        <f>IF(B713="","",IFERROR(INDEX(Items!$B$5:$B$19,MATCH(B713,Items!$A$5:$A$19,0)),"Unknown code"))</f>
        <v/>
      </c>
      <c r="D713" s="29"/>
      <c r="E713" s="18" t="str">
        <f>IF(B713="","",IFERROR(INDEX(Items!$C$5:$C$19,MATCH(B713,Items!$A$5:$A$19,0)),""))</f>
        <v/>
      </c>
      <c r="F713" s="18" t="str">
        <f t="shared" si="66"/>
        <v/>
      </c>
      <c r="G713" s="27"/>
      <c r="H713" s="23" t="str">
        <f>IF(OR(A713="",B713="",D713=""),"",IFERROR(INDEX(Items!$D$5:$D$19,MATCH(B713,Items!$A$5:$A$19,0))+SUMIFS(D$4:D712,B$4:B712,B713),""))</f>
        <v/>
      </c>
      <c r="I713" s="23" t="str">
        <f t="shared" si="67"/>
        <v/>
      </c>
      <c r="J713" s="23" t="str">
        <f t="shared" si="68"/>
        <v/>
      </c>
      <c r="K713" s="18" t="str">
        <f t="shared" si="69"/>
        <v/>
      </c>
      <c r="L713" s="16" t="str">
        <f t="shared" ca="1" si="70"/>
        <v/>
      </c>
      <c r="M713" s="25" t="str">
        <f>IF(H713="","",IF(I713&lt;=0,"Shipped",IF(L713&lt;=AGE30,"Fresh",IF(L713&lt;=AGE60,"Watch",IF(L713&lt;=AGE90,"Aging","Old")))))</f>
        <v/>
      </c>
      <c r="N713" s="16" t="str">
        <f t="shared" si="71"/>
        <v/>
      </c>
    </row>
    <row r="714" spans="1:14" x14ac:dyDescent="0.2">
      <c r="A714" s="32"/>
      <c r="B714" s="27"/>
      <c r="C714" s="15" t="str">
        <f>IF(B714="","",IFERROR(INDEX(Items!$B$5:$B$19,MATCH(B714,Items!$A$5:$A$19,0)),"Unknown code"))</f>
        <v/>
      </c>
      <c r="D714" s="29"/>
      <c r="E714" s="18" t="str">
        <f>IF(B714="","",IFERROR(INDEX(Items!$C$5:$C$19,MATCH(B714,Items!$A$5:$A$19,0)),""))</f>
        <v/>
      </c>
      <c r="F714" s="18" t="str">
        <f t="shared" si="66"/>
        <v/>
      </c>
      <c r="G714" s="27"/>
      <c r="H714" s="23" t="str">
        <f>IF(OR(A714="",B714="",D714=""),"",IFERROR(INDEX(Items!$D$5:$D$19,MATCH(B714,Items!$A$5:$A$19,0))+SUMIFS(D$4:D713,B$4:B713,B714),""))</f>
        <v/>
      </c>
      <c r="I714" s="23" t="str">
        <f t="shared" si="67"/>
        <v/>
      </c>
      <c r="J714" s="23" t="str">
        <f t="shared" si="68"/>
        <v/>
      </c>
      <c r="K714" s="18" t="str">
        <f t="shared" si="69"/>
        <v/>
      </c>
      <c r="L714" s="16" t="str">
        <f t="shared" ca="1" si="70"/>
        <v/>
      </c>
      <c r="M714" s="25" t="str">
        <f>IF(H714="","",IF(I714&lt;=0,"Shipped",IF(L714&lt;=AGE30,"Fresh",IF(L714&lt;=AGE60,"Watch",IF(L714&lt;=AGE90,"Aging","Old")))))</f>
        <v/>
      </c>
      <c r="N714" s="16" t="str">
        <f t="shared" si="71"/>
        <v/>
      </c>
    </row>
    <row r="715" spans="1:14" x14ac:dyDescent="0.2">
      <c r="A715" s="32"/>
      <c r="B715" s="27"/>
      <c r="C715" s="15" t="str">
        <f>IF(B715="","",IFERROR(INDEX(Items!$B$5:$B$19,MATCH(B715,Items!$A$5:$A$19,0)),"Unknown code"))</f>
        <v/>
      </c>
      <c r="D715" s="29"/>
      <c r="E715" s="18" t="str">
        <f>IF(B715="","",IFERROR(INDEX(Items!$C$5:$C$19,MATCH(B715,Items!$A$5:$A$19,0)),""))</f>
        <v/>
      </c>
      <c r="F715" s="18" t="str">
        <f t="shared" si="66"/>
        <v/>
      </c>
      <c r="G715" s="27"/>
      <c r="H715" s="23" t="str">
        <f>IF(OR(A715="",B715="",D715=""),"",IFERROR(INDEX(Items!$D$5:$D$19,MATCH(B715,Items!$A$5:$A$19,0))+SUMIFS(D$4:D714,B$4:B714,B715),""))</f>
        <v/>
      </c>
      <c r="I715" s="23" t="str">
        <f t="shared" si="67"/>
        <v/>
      </c>
      <c r="J715" s="23" t="str">
        <f t="shared" si="68"/>
        <v/>
      </c>
      <c r="K715" s="18" t="str">
        <f t="shared" si="69"/>
        <v/>
      </c>
      <c r="L715" s="16" t="str">
        <f t="shared" ca="1" si="70"/>
        <v/>
      </c>
      <c r="M715" s="25" t="str">
        <f>IF(H715="","",IF(I715&lt;=0,"Shipped",IF(L715&lt;=AGE30,"Fresh",IF(L715&lt;=AGE60,"Watch",IF(L715&lt;=AGE90,"Aging","Old")))))</f>
        <v/>
      </c>
      <c r="N715" s="16" t="str">
        <f t="shared" si="71"/>
        <v/>
      </c>
    </row>
    <row r="716" spans="1:14" x14ac:dyDescent="0.2">
      <c r="A716" s="32"/>
      <c r="B716" s="27"/>
      <c r="C716" s="15" t="str">
        <f>IF(B716="","",IFERROR(INDEX(Items!$B$5:$B$19,MATCH(B716,Items!$A$5:$A$19,0)),"Unknown code"))</f>
        <v/>
      </c>
      <c r="D716" s="29"/>
      <c r="E716" s="18" t="str">
        <f>IF(B716="","",IFERROR(INDEX(Items!$C$5:$C$19,MATCH(B716,Items!$A$5:$A$19,0)),""))</f>
        <v/>
      </c>
      <c r="F716" s="18" t="str">
        <f t="shared" si="66"/>
        <v/>
      </c>
      <c r="G716" s="27"/>
      <c r="H716" s="23" t="str">
        <f>IF(OR(A716="",B716="",D716=""),"",IFERROR(INDEX(Items!$D$5:$D$19,MATCH(B716,Items!$A$5:$A$19,0))+SUMIFS(D$4:D715,B$4:B715,B716),""))</f>
        <v/>
      </c>
      <c r="I716" s="23" t="str">
        <f t="shared" si="67"/>
        <v/>
      </c>
      <c r="J716" s="23" t="str">
        <f t="shared" si="68"/>
        <v/>
      </c>
      <c r="K716" s="18" t="str">
        <f t="shared" si="69"/>
        <v/>
      </c>
      <c r="L716" s="16" t="str">
        <f t="shared" ca="1" si="70"/>
        <v/>
      </c>
      <c r="M716" s="25" t="str">
        <f>IF(H716="","",IF(I716&lt;=0,"Shipped",IF(L716&lt;=AGE30,"Fresh",IF(L716&lt;=AGE60,"Watch",IF(L716&lt;=AGE90,"Aging","Old")))))</f>
        <v/>
      </c>
      <c r="N716" s="16" t="str">
        <f t="shared" si="71"/>
        <v/>
      </c>
    </row>
    <row r="717" spans="1:14" x14ac:dyDescent="0.2">
      <c r="A717" s="32"/>
      <c r="B717" s="27"/>
      <c r="C717" s="15" t="str">
        <f>IF(B717="","",IFERROR(INDEX(Items!$B$5:$B$19,MATCH(B717,Items!$A$5:$A$19,0)),"Unknown code"))</f>
        <v/>
      </c>
      <c r="D717" s="29"/>
      <c r="E717" s="18" t="str">
        <f>IF(B717="","",IFERROR(INDEX(Items!$C$5:$C$19,MATCH(B717,Items!$A$5:$A$19,0)),""))</f>
        <v/>
      </c>
      <c r="F717" s="18" t="str">
        <f t="shared" si="66"/>
        <v/>
      </c>
      <c r="G717" s="27"/>
      <c r="H717" s="23" t="str">
        <f>IF(OR(A717="",B717="",D717=""),"",IFERROR(INDEX(Items!$D$5:$D$19,MATCH(B717,Items!$A$5:$A$19,0))+SUMIFS(D$4:D716,B$4:B716,B717),""))</f>
        <v/>
      </c>
      <c r="I717" s="23" t="str">
        <f t="shared" si="67"/>
        <v/>
      </c>
      <c r="J717" s="23" t="str">
        <f t="shared" si="68"/>
        <v/>
      </c>
      <c r="K717" s="18" t="str">
        <f t="shared" si="69"/>
        <v/>
      </c>
      <c r="L717" s="16" t="str">
        <f t="shared" ca="1" si="70"/>
        <v/>
      </c>
      <c r="M717" s="25" t="str">
        <f>IF(H717="","",IF(I717&lt;=0,"Shipped",IF(L717&lt;=AGE30,"Fresh",IF(L717&lt;=AGE60,"Watch",IF(L717&lt;=AGE90,"Aging","Old")))))</f>
        <v/>
      </c>
      <c r="N717" s="16" t="str">
        <f t="shared" si="71"/>
        <v/>
      </c>
    </row>
    <row r="718" spans="1:14" x14ac:dyDescent="0.2">
      <c r="A718" s="32"/>
      <c r="B718" s="27"/>
      <c r="C718" s="15" t="str">
        <f>IF(B718="","",IFERROR(INDEX(Items!$B$5:$B$19,MATCH(B718,Items!$A$5:$A$19,0)),"Unknown code"))</f>
        <v/>
      </c>
      <c r="D718" s="29"/>
      <c r="E718" s="18" t="str">
        <f>IF(B718="","",IFERROR(INDEX(Items!$C$5:$C$19,MATCH(B718,Items!$A$5:$A$19,0)),""))</f>
        <v/>
      </c>
      <c r="F718" s="18" t="str">
        <f t="shared" si="66"/>
        <v/>
      </c>
      <c r="G718" s="27"/>
      <c r="H718" s="23" t="str">
        <f>IF(OR(A718="",B718="",D718=""),"",IFERROR(INDEX(Items!$D$5:$D$19,MATCH(B718,Items!$A$5:$A$19,0))+SUMIFS(D$4:D717,B$4:B717,B718),""))</f>
        <v/>
      </c>
      <c r="I718" s="23" t="str">
        <f t="shared" si="67"/>
        <v/>
      </c>
      <c r="J718" s="23" t="str">
        <f t="shared" si="68"/>
        <v/>
      </c>
      <c r="K718" s="18" t="str">
        <f t="shared" si="69"/>
        <v/>
      </c>
      <c r="L718" s="16" t="str">
        <f t="shared" ca="1" si="70"/>
        <v/>
      </c>
      <c r="M718" s="25" t="str">
        <f>IF(H718="","",IF(I718&lt;=0,"Shipped",IF(L718&lt;=AGE30,"Fresh",IF(L718&lt;=AGE60,"Watch",IF(L718&lt;=AGE90,"Aging","Old")))))</f>
        <v/>
      </c>
      <c r="N718" s="16" t="str">
        <f t="shared" si="71"/>
        <v/>
      </c>
    </row>
    <row r="719" spans="1:14" x14ac:dyDescent="0.2">
      <c r="A719" s="32"/>
      <c r="B719" s="27"/>
      <c r="C719" s="15" t="str">
        <f>IF(B719="","",IFERROR(INDEX(Items!$B$5:$B$19,MATCH(B719,Items!$A$5:$A$19,0)),"Unknown code"))</f>
        <v/>
      </c>
      <c r="D719" s="29"/>
      <c r="E719" s="18" t="str">
        <f>IF(B719="","",IFERROR(INDEX(Items!$C$5:$C$19,MATCH(B719,Items!$A$5:$A$19,0)),""))</f>
        <v/>
      </c>
      <c r="F719" s="18" t="str">
        <f t="shared" si="66"/>
        <v/>
      </c>
      <c r="G719" s="27"/>
      <c r="H719" s="23" t="str">
        <f>IF(OR(A719="",B719="",D719=""),"",IFERROR(INDEX(Items!$D$5:$D$19,MATCH(B719,Items!$A$5:$A$19,0))+SUMIFS(D$4:D718,B$4:B718,B719),""))</f>
        <v/>
      </c>
      <c r="I719" s="23" t="str">
        <f t="shared" si="67"/>
        <v/>
      </c>
      <c r="J719" s="23" t="str">
        <f t="shared" si="68"/>
        <v/>
      </c>
      <c r="K719" s="18" t="str">
        <f t="shared" si="69"/>
        <v/>
      </c>
      <c r="L719" s="16" t="str">
        <f t="shared" ca="1" si="70"/>
        <v/>
      </c>
      <c r="M719" s="25" t="str">
        <f>IF(H719="","",IF(I719&lt;=0,"Shipped",IF(L719&lt;=AGE30,"Fresh",IF(L719&lt;=AGE60,"Watch",IF(L719&lt;=AGE90,"Aging","Old")))))</f>
        <v/>
      </c>
      <c r="N719" s="16" t="str">
        <f t="shared" si="71"/>
        <v/>
      </c>
    </row>
    <row r="720" spans="1:14" x14ac:dyDescent="0.2">
      <c r="A720" s="32"/>
      <c r="B720" s="27"/>
      <c r="C720" s="15" t="str">
        <f>IF(B720="","",IFERROR(INDEX(Items!$B$5:$B$19,MATCH(B720,Items!$A$5:$A$19,0)),"Unknown code"))</f>
        <v/>
      </c>
      <c r="D720" s="29"/>
      <c r="E720" s="18" t="str">
        <f>IF(B720="","",IFERROR(INDEX(Items!$C$5:$C$19,MATCH(B720,Items!$A$5:$A$19,0)),""))</f>
        <v/>
      </c>
      <c r="F720" s="18" t="str">
        <f t="shared" si="66"/>
        <v/>
      </c>
      <c r="G720" s="27"/>
      <c r="H720" s="23" t="str">
        <f>IF(OR(A720="",B720="",D720=""),"",IFERROR(INDEX(Items!$D$5:$D$19,MATCH(B720,Items!$A$5:$A$19,0))+SUMIFS(D$4:D719,B$4:B719,B720),""))</f>
        <v/>
      </c>
      <c r="I720" s="23" t="str">
        <f t="shared" si="67"/>
        <v/>
      </c>
      <c r="J720" s="23" t="str">
        <f t="shared" si="68"/>
        <v/>
      </c>
      <c r="K720" s="18" t="str">
        <f t="shared" si="69"/>
        <v/>
      </c>
      <c r="L720" s="16" t="str">
        <f t="shared" ca="1" si="70"/>
        <v/>
      </c>
      <c r="M720" s="25" t="str">
        <f>IF(H720="","",IF(I720&lt;=0,"Shipped",IF(L720&lt;=AGE30,"Fresh",IF(L720&lt;=AGE60,"Watch",IF(L720&lt;=AGE90,"Aging","Old")))))</f>
        <v/>
      </c>
      <c r="N720" s="16" t="str">
        <f t="shared" si="71"/>
        <v/>
      </c>
    </row>
    <row r="721" spans="1:14" x14ac:dyDescent="0.2">
      <c r="A721" s="32"/>
      <c r="B721" s="27"/>
      <c r="C721" s="15" t="str">
        <f>IF(B721="","",IFERROR(INDEX(Items!$B$5:$B$19,MATCH(B721,Items!$A$5:$A$19,0)),"Unknown code"))</f>
        <v/>
      </c>
      <c r="D721" s="29"/>
      <c r="E721" s="18" t="str">
        <f>IF(B721="","",IFERROR(INDEX(Items!$C$5:$C$19,MATCH(B721,Items!$A$5:$A$19,0)),""))</f>
        <v/>
      </c>
      <c r="F721" s="18" t="str">
        <f t="shared" si="66"/>
        <v/>
      </c>
      <c r="G721" s="27"/>
      <c r="H721" s="23" t="str">
        <f>IF(OR(A721="",B721="",D721=""),"",IFERROR(INDEX(Items!$D$5:$D$19,MATCH(B721,Items!$A$5:$A$19,0))+SUMIFS(D$4:D720,B$4:B720,B721),""))</f>
        <v/>
      </c>
      <c r="I721" s="23" t="str">
        <f t="shared" si="67"/>
        <v/>
      </c>
      <c r="J721" s="23" t="str">
        <f t="shared" si="68"/>
        <v/>
      </c>
      <c r="K721" s="18" t="str">
        <f t="shared" si="69"/>
        <v/>
      </c>
      <c r="L721" s="16" t="str">
        <f t="shared" ca="1" si="70"/>
        <v/>
      </c>
      <c r="M721" s="25" t="str">
        <f>IF(H721="","",IF(I721&lt;=0,"Shipped",IF(L721&lt;=AGE30,"Fresh",IF(L721&lt;=AGE60,"Watch",IF(L721&lt;=AGE90,"Aging","Old")))))</f>
        <v/>
      </c>
      <c r="N721" s="16" t="str">
        <f t="shared" si="71"/>
        <v/>
      </c>
    </row>
    <row r="722" spans="1:14" x14ac:dyDescent="0.2">
      <c r="A722" s="32"/>
      <c r="B722" s="27"/>
      <c r="C722" s="15" t="str">
        <f>IF(B722="","",IFERROR(INDEX(Items!$B$5:$B$19,MATCH(B722,Items!$A$5:$A$19,0)),"Unknown code"))</f>
        <v/>
      </c>
      <c r="D722" s="29"/>
      <c r="E722" s="18" t="str">
        <f>IF(B722="","",IFERROR(INDEX(Items!$C$5:$C$19,MATCH(B722,Items!$A$5:$A$19,0)),""))</f>
        <v/>
      </c>
      <c r="F722" s="18" t="str">
        <f t="shared" si="66"/>
        <v/>
      </c>
      <c r="G722" s="27"/>
      <c r="H722" s="23" t="str">
        <f>IF(OR(A722="",B722="",D722=""),"",IFERROR(INDEX(Items!$D$5:$D$19,MATCH(B722,Items!$A$5:$A$19,0))+SUMIFS(D$4:D721,B$4:B721,B722),""))</f>
        <v/>
      </c>
      <c r="I722" s="23" t="str">
        <f t="shared" si="67"/>
        <v/>
      </c>
      <c r="J722" s="23" t="str">
        <f t="shared" si="68"/>
        <v/>
      </c>
      <c r="K722" s="18" t="str">
        <f t="shared" si="69"/>
        <v/>
      </c>
      <c r="L722" s="16" t="str">
        <f t="shared" ca="1" si="70"/>
        <v/>
      </c>
      <c r="M722" s="25" t="str">
        <f>IF(H722="","",IF(I722&lt;=0,"Shipped",IF(L722&lt;=AGE30,"Fresh",IF(L722&lt;=AGE60,"Watch",IF(L722&lt;=AGE90,"Aging","Old")))))</f>
        <v/>
      </c>
      <c r="N722" s="16" t="str">
        <f t="shared" si="71"/>
        <v/>
      </c>
    </row>
    <row r="723" spans="1:14" x14ac:dyDescent="0.2">
      <c r="A723" s="32"/>
      <c r="B723" s="27"/>
      <c r="C723" s="15" t="str">
        <f>IF(B723="","",IFERROR(INDEX(Items!$B$5:$B$19,MATCH(B723,Items!$A$5:$A$19,0)),"Unknown code"))</f>
        <v/>
      </c>
      <c r="D723" s="29"/>
      <c r="E723" s="18" t="str">
        <f>IF(B723="","",IFERROR(INDEX(Items!$C$5:$C$19,MATCH(B723,Items!$A$5:$A$19,0)),""))</f>
        <v/>
      </c>
      <c r="F723" s="18" t="str">
        <f t="shared" si="66"/>
        <v/>
      </c>
      <c r="G723" s="27"/>
      <c r="H723" s="23" t="str">
        <f>IF(OR(A723="",B723="",D723=""),"",IFERROR(INDEX(Items!$D$5:$D$19,MATCH(B723,Items!$A$5:$A$19,0))+SUMIFS(D$4:D722,B$4:B722,B723),""))</f>
        <v/>
      </c>
      <c r="I723" s="23" t="str">
        <f t="shared" si="67"/>
        <v/>
      </c>
      <c r="J723" s="23" t="str">
        <f t="shared" si="68"/>
        <v/>
      </c>
      <c r="K723" s="18" t="str">
        <f t="shared" si="69"/>
        <v/>
      </c>
      <c r="L723" s="16" t="str">
        <f t="shared" ca="1" si="70"/>
        <v/>
      </c>
      <c r="M723" s="25" t="str">
        <f>IF(H723="","",IF(I723&lt;=0,"Shipped",IF(L723&lt;=AGE30,"Fresh",IF(L723&lt;=AGE60,"Watch",IF(L723&lt;=AGE90,"Aging","Old")))))</f>
        <v/>
      </c>
      <c r="N723" s="16" t="str">
        <f t="shared" si="71"/>
        <v/>
      </c>
    </row>
    <row r="724" spans="1:14" x14ac:dyDescent="0.2">
      <c r="A724" s="32"/>
      <c r="B724" s="27"/>
      <c r="C724" s="15" t="str">
        <f>IF(B724="","",IFERROR(INDEX(Items!$B$5:$B$19,MATCH(B724,Items!$A$5:$A$19,0)),"Unknown code"))</f>
        <v/>
      </c>
      <c r="D724" s="29"/>
      <c r="E724" s="18" t="str">
        <f>IF(B724="","",IFERROR(INDEX(Items!$C$5:$C$19,MATCH(B724,Items!$A$5:$A$19,0)),""))</f>
        <v/>
      </c>
      <c r="F724" s="18" t="str">
        <f t="shared" si="66"/>
        <v/>
      </c>
      <c r="G724" s="27"/>
      <c r="H724" s="23" t="str">
        <f>IF(OR(A724="",B724="",D724=""),"",IFERROR(INDEX(Items!$D$5:$D$19,MATCH(B724,Items!$A$5:$A$19,0))+SUMIFS(D$4:D723,B$4:B723,B724),""))</f>
        <v/>
      </c>
      <c r="I724" s="23" t="str">
        <f t="shared" si="67"/>
        <v/>
      </c>
      <c r="J724" s="23" t="str">
        <f t="shared" si="68"/>
        <v/>
      </c>
      <c r="K724" s="18" t="str">
        <f t="shared" si="69"/>
        <v/>
      </c>
      <c r="L724" s="16" t="str">
        <f t="shared" ca="1" si="70"/>
        <v/>
      </c>
      <c r="M724" s="25" t="str">
        <f>IF(H724="","",IF(I724&lt;=0,"Shipped",IF(L724&lt;=AGE30,"Fresh",IF(L724&lt;=AGE60,"Watch",IF(L724&lt;=AGE90,"Aging","Old")))))</f>
        <v/>
      </c>
      <c r="N724" s="16" t="str">
        <f t="shared" si="71"/>
        <v/>
      </c>
    </row>
    <row r="725" spans="1:14" x14ac:dyDescent="0.2">
      <c r="A725" s="32"/>
      <c r="B725" s="27"/>
      <c r="C725" s="15" t="str">
        <f>IF(B725="","",IFERROR(INDEX(Items!$B$5:$B$19,MATCH(B725,Items!$A$5:$A$19,0)),"Unknown code"))</f>
        <v/>
      </c>
      <c r="D725" s="29"/>
      <c r="E725" s="18" t="str">
        <f>IF(B725="","",IFERROR(INDEX(Items!$C$5:$C$19,MATCH(B725,Items!$A$5:$A$19,0)),""))</f>
        <v/>
      </c>
      <c r="F725" s="18" t="str">
        <f t="shared" si="66"/>
        <v/>
      </c>
      <c r="G725" s="27"/>
      <c r="H725" s="23" t="str">
        <f>IF(OR(A725="",B725="",D725=""),"",IFERROR(INDEX(Items!$D$5:$D$19,MATCH(B725,Items!$A$5:$A$19,0))+SUMIFS(D$4:D724,B$4:B724,B725),""))</f>
        <v/>
      </c>
      <c r="I725" s="23" t="str">
        <f t="shared" si="67"/>
        <v/>
      </c>
      <c r="J725" s="23" t="str">
        <f t="shared" si="68"/>
        <v/>
      </c>
      <c r="K725" s="18" t="str">
        <f t="shared" si="69"/>
        <v/>
      </c>
      <c r="L725" s="16" t="str">
        <f t="shared" ca="1" si="70"/>
        <v/>
      </c>
      <c r="M725" s="25" t="str">
        <f>IF(H725="","",IF(I725&lt;=0,"Shipped",IF(L725&lt;=AGE30,"Fresh",IF(L725&lt;=AGE60,"Watch",IF(L725&lt;=AGE90,"Aging","Old")))))</f>
        <v/>
      </c>
      <c r="N725" s="16" t="str">
        <f t="shared" si="71"/>
        <v/>
      </c>
    </row>
    <row r="726" spans="1:14" x14ac:dyDescent="0.2">
      <c r="A726" s="32"/>
      <c r="B726" s="27"/>
      <c r="C726" s="15" t="str">
        <f>IF(B726="","",IFERROR(INDEX(Items!$B$5:$B$19,MATCH(B726,Items!$A$5:$A$19,0)),"Unknown code"))</f>
        <v/>
      </c>
      <c r="D726" s="29"/>
      <c r="E726" s="18" t="str">
        <f>IF(B726="","",IFERROR(INDEX(Items!$C$5:$C$19,MATCH(B726,Items!$A$5:$A$19,0)),""))</f>
        <v/>
      </c>
      <c r="F726" s="18" t="str">
        <f t="shared" si="66"/>
        <v/>
      </c>
      <c r="G726" s="27"/>
      <c r="H726" s="23" t="str">
        <f>IF(OR(A726="",B726="",D726=""),"",IFERROR(INDEX(Items!$D$5:$D$19,MATCH(B726,Items!$A$5:$A$19,0))+SUMIFS(D$4:D725,B$4:B725,B726),""))</f>
        <v/>
      </c>
      <c r="I726" s="23" t="str">
        <f t="shared" si="67"/>
        <v/>
      </c>
      <c r="J726" s="23" t="str">
        <f t="shared" si="68"/>
        <v/>
      </c>
      <c r="K726" s="18" t="str">
        <f t="shared" si="69"/>
        <v/>
      </c>
      <c r="L726" s="16" t="str">
        <f t="shared" ca="1" si="70"/>
        <v/>
      </c>
      <c r="M726" s="25" t="str">
        <f>IF(H726="","",IF(I726&lt;=0,"Shipped",IF(L726&lt;=AGE30,"Fresh",IF(L726&lt;=AGE60,"Watch",IF(L726&lt;=AGE90,"Aging","Old")))))</f>
        <v/>
      </c>
      <c r="N726" s="16" t="str">
        <f t="shared" si="71"/>
        <v/>
      </c>
    </row>
    <row r="727" spans="1:14" x14ac:dyDescent="0.2">
      <c r="A727" s="32"/>
      <c r="B727" s="27"/>
      <c r="C727" s="15" t="str">
        <f>IF(B727="","",IFERROR(INDEX(Items!$B$5:$B$19,MATCH(B727,Items!$A$5:$A$19,0)),"Unknown code"))</f>
        <v/>
      </c>
      <c r="D727" s="29"/>
      <c r="E727" s="18" t="str">
        <f>IF(B727="","",IFERROR(INDEX(Items!$C$5:$C$19,MATCH(B727,Items!$A$5:$A$19,0)),""))</f>
        <v/>
      </c>
      <c r="F727" s="18" t="str">
        <f t="shared" si="66"/>
        <v/>
      </c>
      <c r="G727" s="27"/>
      <c r="H727" s="23" t="str">
        <f>IF(OR(A727="",B727="",D727=""),"",IFERROR(INDEX(Items!$D$5:$D$19,MATCH(B727,Items!$A$5:$A$19,0))+SUMIFS(D$4:D726,B$4:B726,B727),""))</f>
        <v/>
      </c>
      <c r="I727" s="23" t="str">
        <f t="shared" si="67"/>
        <v/>
      </c>
      <c r="J727" s="23" t="str">
        <f t="shared" si="68"/>
        <v/>
      </c>
      <c r="K727" s="18" t="str">
        <f t="shared" si="69"/>
        <v/>
      </c>
      <c r="L727" s="16" t="str">
        <f t="shared" ca="1" si="70"/>
        <v/>
      </c>
      <c r="M727" s="25" t="str">
        <f>IF(H727="","",IF(I727&lt;=0,"Shipped",IF(L727&lt;=AGE30,"Fresh",IF(L727&lt;=AGE60,"Watch",IF(L727&lt;=AGE90,"Aging","Old")))))</f>
        <v/>
      </c>
      <c r="N727" s="16" t="str">
        <f t="shared" si="71"/>
        <v/>
      </c>
    </row>
    <row r="728" spans="1:14" x14ac:dyDescent="0.2">
      <c r="A728" s="32"/>
      <c r="B728" s="27"/>
      <c r="C728" s="15" t="str">
        <f>IF(B728="","",IFERROR(INDEX(Items!$B$5:$B$19,MATCH(B728,Items!$A$5:$A$19,0)),"Unknown code"))</f>
        <v/>
      </c>
      <c r="D728" s="29"/>
      <c r="E728" s="18" t="str">
        <f>IF(B728="","",IFERROR(INDEX(Items!$C$5:$C$19,MATCH(B728,Items!$A$5:$A$19,0)),""))</f>
        <v/>
      </c>
      <c r="F728" s="18" t="str">
        <f t="shared" si="66"/>
        <v/>
      </c>
      <c r="G728" s="27"/>
      <c r="H728" s="23" t="str">
        <f>IF(OR(A728="",B728="",D728=""),"",IFERROR(INDEX(Items!$D$5:$D$19,MATCH(B728,Items!$A$5:$A$19,0))+SUMIFS(D$4:D727,B$4:B727,B728),""))</f>
        <v/>
      </c>
      <c r="I728" s="23" t="str">
        <f t="shared" si="67"/>
        <v/>
      </c>
      <c r="J728" s="23" t="str">
        <f t="shared" si="68"/>
        <v/>
      </c>
      <c r="K728" s="18" t="str">
        <f t="shared" si="69"/>
        <v/>
      </c>
      <c r="L728" s="16" t="str">
        <f t="shared" ca="1" si="70"/>
        <v/>
      </c>
      <c r="M728" s="25" t="str">
        <f>IF(H728="","",IF(I728&lt;=0,"Shipped",IF(L728&lt;=AGE30,"Fresh",IF(L728&lt;=AGE60,"Watch",IF(L728&lt;=AGE90,"Aging","Old")))))</f>
        <v/>
      </c>
      <c r="N728" s="16" t="str">
        <f t="shared" si="71"/>
        <v/>
      </c>
    </row>
    <row r="729" spans="1:14" x14ac:dyDescent="0.2">
      <c r="A729" s="32"/>
      <c r="B729" s="27"/>
      <c r="C729" s="15" t="str">
        <f>IF(B729="","",IFERROR(INDEX(Items!$B$5:$B$19,MATCH(B729,Items!$A$5:$A$19,0)),"Unknown code"))</f>
        <v/>
      </c>
      <c r="D729" s="29"/>
      <c r="E729" s="18" t="str">
        <f>IF(B729="","",IFERROR(INDEX(Items!$C$5:$C$19,MATCH(B729,Items!$A$5:$A$19,0)),""))</f>
        <v/>
      </c>
      <c r="F729" s="18" t="str">
        <f t="shared" si="66"/>
        <v/>
      </c>
      <c r="G729" s="27"/>
      <c r="H729" s="23" t="str">
        <f>IF(OR(A729="",B729="",D729=""),"",IFERROR(INDEX(Items!$D$5:$D$19,MATCH(B729,Items!$A$5:$A$19,0))+SUMIFS(D$4:D728,B$4:B728,B729),""))</f>
        <v/>
      </c>
      <c r="I729" s="23" t="str">
        <f t="shared" si="67"/>
        <v/>
      </c>
      <c r="J729" s="23" t="str">
        <f t="shared" si="68"/>
        <v/>
      </c>
      <c r="K729" s="18" t="str">
        <f t="shared" si="69"/>
        <v/>
      </c>
      <c r="L729" s="16" t="str">
        <f t="shared" ca="1" si="70"/>
        <v/>
      </c>
      <c r="M729" s="25" t="str">
        <f>IF(H729="","",IF(I729&lt;=0,"Shipped",IF(L729&lt;=AGE30,"Fresh",IF(L729&lt;=AGE60,"Watch",IF(L729&lt;=AGE90,"Aging","Old")))))</f>
        <v/>
      </c>
      <c r="N729" s="16" t="str">
        <f t="shared" si="71"/>
        <v/>
      </c>
    </row>
    <row r="730" spans="1:14" x14ac:dyDescent="0.2">
      <c r="A730" s="32"/>
      <c r="B730" s="27"/>
      <c r="C730" s="15" t="str">
        <f>IF(B730="","",IFERROR(INDEX(Items!$B$5:$B$19,MATCH(B730,Items!$A$5:$A$19,0)),"Unknown code"))</f>
        <v/>
      </c>
      <c r="D730" s="29"/>
      <c r="E730" s="18" t="str">
        <f>IF(B730="","",IFERROR(INDEX(Items!$C$5:$C$19,MATCH(B730,Items!$A$5:$A$19,0)),""))</f>
        <v/>
      </c>
      <c r="F730" s="18" t="str">
        <f t="shared" si="66"/>
        <v/>
      </c>
      <c r="G730" s="27"/>
      <c r="H730" s="23" t="str">
        <f>IF(OR(A730="",B730="",D730=""),"",IFERROR(INDEX(Items!$D$5:$D$19,MATCH(B730,Items!$A$5:$A$19,0))+SUMIFS(D$4:D729,B$4:B729,B730),""))</f>
        <v/>
      </c>
      <c r="I730" s="23" t="str">
        <f t="shared" si="67"/>
        <v/>
      </c>
      <c r="J730" s="23" t="str">
        <f t="shared" si="68"/>
        <v/>
      </c>
      <c r="K730" s="18" t="str">
        <f t="shared" si="69"/>
        <v/>
      </c>
      <c r="L730" s="16" t="str">
        <f t="shared" ca="1" si="70"/>
        <v/>
      </c>
      <c r="M730" s="25" t="str">
        <f>IF(H730="","",IF(I730&lt;=0,"Shipped",IF(L730&lt;=AGE30,"Fresh",IF(L730&lt;=AGE60,"Watch",IF(L730&lt;=AGE90,"Aging","Old")))))</f>
        <v/>
      </c>
      <c r="N730" s="16" t="str">
        <f t="shared" si="71"/>
        <v/>
      </c>
    </row>
    <row r="731" spans="1:14" x14ac:dyDescent="0.2">
      <c r="A731" s="32"/>
      <c r="B731" s="27"/>
      <c r="C731" s="15" t="str">
        <f>IF(B731="","",IFERROR(INDEX(Items!$B$5:$B$19,MATCH(B731,Items!$A$5:$A$19,0)),"Unknown code"))</f>
        <v/>
      </c>
      <c r="D731" s="29"/>
      <c r="E731" s="18" t="str">
        <f>IF(B731="","",IFERROR(INDEX(Items!$C$5:$C$19,MATCH(B731,Items!$A$5:$A$19,0)),""))</f>
        <v/>
      </c>
      <c r="F731" s="18" t="str">
        <f t="shared" si="66"/>
        <v/>
      </c>
      <c r="G731" s="27"/>
      <c r="H731" s="23" t="str">
        <f>IF(OR(A731="",B731="",D731=""),"",IFERROR(INDEX(Items!$D$5:$D$19,MATCH(B731,Items!$A$5:$A$19,0))+SUMIFS(D$4:D730,B$4:B730,B731),""))</f>
        <v/>
      </c>
      <c r="I731" s="23" t="str">
        <f t="shared" si="67"/>
        <v/>
      </c>
      <c r="J731" s="23" t="str">
        <f t="shared" si="68"/>
        <v/>
      </c>
      <c r="K731" s="18" t="str">
        <f t="shared" si="69"/>
        <v/>
      </c>
      <c r="L731" s="16" t="str">
        <f t="shared" ca="1" si="70"/>
        <v/>
      </c>
      <c r="M731" s="25" t="str">
        <f>IF(H731="","",IF(I731&lt;=0,"Shipped",IF(L731&lt;=AGE30,"Fresh",IF(L731&lt;=AGE60,"Watch",IF(L731&lt;=AGE90,"Aging","Old")))))</f>
        <v/>
      </c>
      <c r="N731" s="16" t="str">
        <f t="shared" si="71"/>
        <v/>
      </c>
    </row>
    <row r="732" spans="1:14" x14ac:dyDescent="0.2">
      <c r="A732" s="32"/>
      <c r="B732" s="27"/>
      <c r="C732" s="15" t="str">
        <f>IF(B732="","",IFERROR(INDEX(Items!$B$5:$B$19,MATCH(B732,Items!$A$5:$A$19,0)),"Unknown code"))</f>
        <v/>
      </c>
      <c r="D732" s="29"/>
      <c r="E732" s="18" t="str">
        <f>IF(B732="","",IFERROR(INDEX(Items!$C$5:$C$19,MATCH(B732,Items!$A$5:$A$19,0)),""))</f>
        <v/>
      </c>
      <c r="F732" s="18" t="str">
        <f t="shared" si="66"/>
        <v/>
      </c>
      <c r="G732" s="27"/>
      <c r="H732" s="23" t="str">
        <f>IF(OR(A732="",B732="",D732=""),"",IFERROR(INDEX(Items!$D$5:$D$19,MATCH(B732,Items!$A$5:$A$19,0))+SUMIFS(D$4:D731,B$4:B731,B732),""))</f>
        <v/>
      </c>
      <c r="I732" s="23" t="str">
        <f t="shared" si="67"/>
        <v/>
      </c>
      <c r="J732" s="23" t="str">
        <f t="shared" si="68"/>
        <v/>
      </c>
      <c r="K732" s="18" t="str">
        <f t="shared" si="69"/>
        <v/>
      </c>
      <c r="L732" s="16" t="str">
        <f t="shared" ca="1" si="70"/>
        <v/>
      </c>
      <c r="M732" s="25" t="str">
        <f>IF(H732="","",IF(I732&lt;=0,"Shipped",IF(L732&lt;=AGE30,"Fresh",IF(L732&lt;=AGE60,"Watch",IF(L732&lt;=AGE90,"Aging","Old")))))</f>
        <v/>
      </c>
      <c r="N732" s="16" t="str">
        <f t="shared" si="71"/>
        <v/>
      </c>
    </row>
    <row r="733" spans="1:14" x14ac:dyDescent="0.2">
      <c r="A733" s="32"/>
      <c r="B733" s="27"/>
      <c r="C733" s="15" t="str">
        <f>IF(B733="","",IFERROR(INDEX(Items!$B$5:$B$19,MATCH(B733,Items!$A$5:$A$19,0)),"Unknown code"))</f>
        <v/>
      </c>
      <c r="D733" s="29"/>
      <c r="E733" s="18" t="str">
        <f>IF(B733="","",IFERROR(INDEX(Items!$C$5:$C$19,MATCH(B733,Items!$A$5:$A$19,0)),""))</f>
        <v/>
      </c>
      <c r="F733" s="18" t="str">
        <f t="shared" si="66"/>
        <v/>
      </c>
      <c r="G733" s="27"/>
      <c r="H733" s="23" t="str">
        <f>IF(OR(A733="",B733="",D733=""),"",IFERROR(INDEX(Items!$D$5:$D$19,MATCH(B733,Items!$A$5:$A$19,0))+SUMIFS(D$4:D732,B$4:B732,B733),""))</f>
        <v/>
      </c>
      <c r="I733" s="23" t="str">
        <f t="shared" si="67"/>
        <v/>
      </c>
      <c r="J733" s="23" t="str">
        <f t="shared" si="68"/>
        <v/>
      </c>
      <c r="K733" s="18" t="str">
        <f t="shared" si="69"/>
        <v/>
      </c>
      <c r="L733" s="16" t="str">
        <f t="shared" ca="1" si="70"/>
        <v/>
      </c>
      <c r="M733" s="25" t="str">
        <f>IF(H733="","",IF(I733&lt;=0,"Shipped",IF(L733&lt;=AGE30,"Fresh",IF(L733&lt;=AGE60,"Watch",IF(L733&lt;=AGE90,"Aging","Old")))))</f>
        <v/>
      </c>
      <c r="N733" s="16" t="str">
        <f t="shared" si="71"/>
        <v/>
      </c>
    </row>
    <row r="734" spans="1:14" x14ac:dyDescent="0.2">
      <c r="A734" s="32"/>
      <c r="B734" s="27"/>
      <c r="C734" s="15" t="str">
        <f>IF(B734="","",IFERROR(INDEX(Items!$B$5:$B$19,MATCH(B734,Items!$A$5:$A$19,0)),"Unknown code"))</f>
        <v/>
      </c>
      <c r="D734" s="29"/>
      <c r="E734" s="18" t="str">
        <f>IF(B734="","",IFERROR(INDEX(Items!$C$5:$C$19,MATCH(B734,Items!$A$5:$A$19,0)),""))</f>
        <v/>
      </c>
      <c r="F734" s="18" t="str">
        <f t="shared" si="66"/>
        <v/>
      </c>
      <c r="G734" s="27"/>
      <c r="H734" s="23" t="str">
        <f>IF(OR(A734="",B734="",D734=""),"",IFERROR(INDEX(Items!$D$5:$D$19,MATCH(B734,Items!$A$5:$A$19,0))+SUMIFS(D$4:D733,B$4:B733,B734),""))</f>
        <v/>
      </c>
      <c r="I734" s="23" t="str">
        <f t="shared" si="67"/>
        <v/>
      </c>
      <c r="J734" s="23" t="str">
        <f t="shared" si="68"/>
        <v/>
      </c>
      <c r="K734" s="18" t="str">
        <f t="shared" si="69"/>
        <v/>
      </c>
      <c r="L734" s="16" t="str">
        <f t="shared" ca="1" si="70"/>
        <v/>
      </c>
      <c r="M734" s="25" t="str">
        <f>IF(H734="","",IF(I734&lt;=0,"Shipped",IF(L734&lt;=AGE30,"Fresh",IF(L734&lt;=AGE60,"Watch",IF(L734&lt;=AGE90,"Aging","Old")))))</f>
        <v/>
      </c>
      <c r="N734" s="16" t="str">
        <f t="shared" si="71"/>
        <v/>
      </c>
    </row>
    <row r="735" spans="1:14" x14ac:dyDescent="0.2">
      <c r="A735" s="32"/>
      <c r="B735" s="27"/>
      <c r="C735" s="15" t="str">
        <f>IF(B735="","",IFERROR(INDEX(Items!$B$5:$B$19,MATCH(B735,Items!$A$5:$A$19,0)),"Unknown code"))</f>
        <v/>
      </c>
      <c r="D735" s="29"/>
      <c r="E735" s="18" t="str">
        <f>IF(B735="","",IFERROR(INDEX(Items!$C$5:$C$19,MATCH(B735,Items!$A$5:$A$19,0)),""))</f>
        <v/>
      </c>
      <c r="F735" s="18" t="str">
        <f t="shared" si="66"/>
        <v/>
      </c>
      <c r="G735" s="27"/>
      <c r="H735" s="23" t="str">
        <f>IF(OR(A735="",B735="",D735=""),"",IFERROR(INDEX(Items!$D$5:$D$19,MATCH(B735,Items!$A$5:$A$19,0))+SUMIFS(D$4:D734,B$4:B734,B735),""))</f>
        <v/>
      </c>
      <c r="I735" s="23" t="str">
        <f t="shared" si="67"/>
        <v/>
      </c>
      <c r="J735" s="23" t="str">
        <f t="shared" si="68"/>
        <v/>
      </c>
      <c r="K735" s="18" t="str">
        <f t="shared" si="69"/>
        <v/>
      </c>
      <c r="L735" s="16" t="str">
        <f t="shared" ca="1" si="70"/>
        <v/>
      </c>
      <c r="M735" s="25" t="str">
        <f>IF(H735="","",IF(I735&lt;=0,"Shipped",IF(L735&lt;=AGE30,"Fresh",IF(L735&lt;=AGE60,"Watch",IF(L735&lt;=AGE90,"Aging","Old")))))</f>
        <v/>
      </c>
      <c r="N735" s="16" t="str">
        <f t="shared" si="71"/>
        <v/>
      </c>
    </row>
    <row r="736" spans="1:14" x14ac:dyDescent="0.2">
      <c r="A736" s="32"/>
      <c r="B736" s="27"/>
      <c r="C736" s="15" t="str">
        <f>IF(B736="","",IFERROR(INDEX(Items!$B$5:$B$19,MATCH(B736,Items!$A$5:$A$19,0)),"Unknown code"))</f>
        <v/>
      </c>
      <c r="D736" s="29"/>
      <c r="E736" s="18" t="str">
        <f>IF(B736="","",IFERROR(INDEX(Items!$C$5:$C$19,MATCH(B736,Items!$A$5:$A$19,0)),""))</f>
        <v/>
      </c>
      <c r="F736" s="18" t="str">
        <f t="shared" si="66"/>
        <v/>
      </c>
      <c r="G736" s="27"/>
      <c r="H736" s="23" t="str">
        <f>IF(OR(A736="",B736="",D736=""),"",IFERROR(INDEX(Items!$D$5:$D$19,MATCH(B736,Items!$A$5:$A$19,0))+SUMIFS(D$4:D735,B$4:B735,B736),""))</f>
        <v/>
      </c>
      <c r="I736" s="23" t="str">
        <f t="shared" si="67"/>
        <v/>
      </c>
      <c r="J736" s="23" t="str">
        <f t="shared" si="68"/>
        <v/>
      </c>
      <c r="K736" s="18" t="str">
        <f t="shared" si="69"/>
        <v/>
      </c>
      <c r="L736" s="16" t="str">
        <f t="shared" ca="1" si="70"/>
        <v/>
      </c>
      <c r="M736" s="25" t="str">
        <f>IF(H736="","",IF(I736&lt;=0,"Shipped",IF(L736&lt;=AGE30,"Fresh",IF(L736&lt;=AGE60,"Watch",IF(L736&lt;=AGE90,"Aging","Old")))))</f>
        <v/>
      </c>
      <c r="N736" s="16" t="str">
        <f t="shared" si="71"/>
        <v/>
      </c>
    </row>
    <row r="737" spans="1:14" x14ac:dyDescent="0.2">
      <c r="A737" s="32"/>
      <c r="B737" s="27"/>
      <c r="C737" s="15" t="str">
        <f>IF(B737="","",IFERROR(INDEX(Items!$B$5:$B$19,MATCH(B737,Items!$A$5:$A$19,0)),"Unknown code"))</f>
        <v/>
      </c>
      <c r="D737" s="29"/>
      <c r="E737" s="18" t="str">
        <f>IF(B737="","",IFERROR(INDEX(Items!$C$5:$C$19,MATCH(B737,Items!$A$5:$A$19,0)),""))</f>
        <v/>
      </c>
      <c r="F737" s="18" t="str">
        <f t="shared" si="66"/>
        <v/>
      </c>
      <c r="G737" s="27"/>
      <c r="H737" s="23" t="str">
        <f>IF(OR(A737="",B737="",D737=""),"",IFERROR(INDEX(Items!$D$5:$D$19,MATCH(B737,Items!$A$5:$A$19,0))+SUMIFS(D$4:D736,B$4:B736,B737),""))</f>
        <v/>
      </c>
      <c r="I737" s="23" t="str">
        <f t="shared" si="67"/>
        <v/>
      </c>
      <c r="J737" s="23" t="str">
        <f t="shared" si="68"/>
        <v/>
      </c>
      <c r="K737" s="18" t="str">
        <f t="shared" si="69"/>
        <v/>
      </c>
      <c r="L737" s="16" t="str">
        <f t="shared" ca="1" si="70"/>
        <v/>
      </c>
      <c r="M737" s="25" t="str">
        <f>IF(H737="","",IF(I737&lt;=0,"Shipped",IF(L737&lt;=AGE30,"Fresh",IF(L737&lt;=AGE60,"Watch",IF(L737&lt;=AGE90,"Aging","Old")))))</f>
        <v/>
      </c>
      <c r="N737" s="16" t="str">
        <f t="shared" si="71"/>
        <v/>
      </c>
    </row>
    <row r="738" spans="1:14" x14ac:dyDescent="0.2">
      <c r="A738" s="32"/>
      <c r="B738" s="27"/>
      <c r="C738" s="15" t="str">
        <f>IF(B738="","",IFERROR(INDEX(Items!$B$5:$B$19,MATCH(B738,Items!$A$5:$A$19,0)),"Unknown code"))</f>
        <v/>
      </c>
      <c r="D738" s="29"/>
      <c r="E738" s="18" t="str">
        <f>IF(B738="","",IFERROR(INDEX(Items!$C$5:$C$19,MATCH(B738,Items!$A$5:$A$19,0)),""))</f>
        <v/>
      </c>
      <c r="F738" s="18" t="str">
        <f t="shared" si="66"/>
        <v/>
      </c>
      <c r="G738" s="27"/>
      <c r="H738" s="23" t="str">
        <f>IF(OR(A738="",B738="",D738=""),"",IFERROR(INDEX(Items!$D$5:$D$19,MATCH(B738,Items!$A$5:$A$19,0))+SUMIFS(D$4:D737,B$4:B737,B738),""))</f>
        <v/>
      </c>
      <c r="I738" s="23" t="str">
        <f t="shared" si="67"/>
        <v/>
      </c>
      <c r="J738" s="23" t="str">
        <f t="shared" si="68"/>
        <v/>
      </c>
      <c r="K738" s="18" t="str">
        <f t="shared" si="69"/>
        <v/>
      </c>
      <c r="L738" s="16" t="str">
        <f t="shared" ca="1" si="70"/>
        <v/>
      </c>
      <c r="M738" s="25" t="str">
        <f>IF(H738="","",IF(I738&lt;=0,"Shipped",IF(L738&lt;=AGE30,"Fresh",IF(L738&lt;=AGE60,"Watch",IF(L738&lt;=AGE90,"Aging","Old")))))</f>
        <v/>
      </c>
      <c r="N738" s="16" t="str">
        <f t="shared" si="71"/>
        <v/>
      </c>
    </row>
    <row r="739" spans="1:14" x14ac:dyDescent="0.2">
      <c r="A739" s="32"/>
      <c r="B739" s="27"/>
      <c r="C739" s="15" t="str">
        <f>IF(B739="","",IFERROR(INDEX(Items!$B$5:$B$19,MATCH(B739,Items!$A$5:$A$19,0)),"Unknown code"))</f>
        <v/>
      </c>
      <c r="D739" s="29"/>
      <c r="E739" s="18" t="str">
        <f>IF(B739="","",IFERROR(INDEX(Items!$C$5:$C$19,MATCH(B739,Items!$A$5:$A$19,0)),""))</f>
        <v/>
      </c>
      <c r="F739" s="18" t="str">
        <f t="shared" si="66"/>
        <v/>
      </c>
      <c r="G739" s="27"/>
      <c r="H739" s="23" t="str">
        <f>IF(OR(A739="",B739="",D739=""),"",IFERROR(INDEX(Items!$D$5:$D$19,MATCH(B739,Items!$A$5:$A$19,0))+SUMIFS(D$4:D738,B$4:B738,B739),""))</f>
        <v/>
      </c>
      <c r="I739" s="23" t="str">
        <f t="shared" si="67"/>
        <v/>
      </c>
      <c r="J739" s="23" t="str">
        <f t="shared" si="68"/>
        <v/>
      </c>
      <c r="K739" s="18" t="str">
        <f t="shared" si="69"/>
        <v/>
      </c>
      <c r="L739" s="16" t="str">
        <f t="shared" ca="1" si="70"/>
        <v/>
      </c>
      <c r="M739" s="25" t="str">
        <f>IF(H739="","",IF(I739&lt;=0,"Shipped",IF(L739&lt;=AGE30,"Fresh",IF(L739&lt;=AGE60,"Watch",IF(L739&lt;=AGE90,"Aging","Old")))))</f>
        <v/>
      </c>
      <c r="N739" s="16" t="str">
        <f t="shared" si="71"/>
        <v/>
      </c>
    </row>
    <row r="740" spans="1:14" x14ac:dyDescent="0.2">
      <c r="A740" s="32"/>
      <c r="B740" s="27"/>
      <c r="C740" s="15" t="str">
        <f>IF(B740="","",IFERROR(INDEX(Items!$B$5:$B$19,MATCH(B740,Items!$A$5:$A$19,0)),"Unknown code"))</f>
        <v/>
      </c>
      <c r="D740" s="29"/>
      <c r="E740" s="18" t="str">
        <f>IF(B740="","",IFERROR(INDEX(Items!$C$5:$C$19,MATCH(B740,Items!$A$5:$A$19,0)),""))</f>
        <v/>
      </c>
      <c r="F740" s="18" t="str">
        <f t="shared" si="66"/>
        <v/>
      </c>
      <c r="G740" s="27"/>
      <c r="H740" s="23" t="str">
        <f>IF(OR(A740="",B740="",D740=""),"",IFERROR(INDEX(Items!$D$5:$D$19,MATCH(B740,Items!$A$5:$A$19,0))+SUMIFS(D$4:D739,B$4:B739,B740),""))</f>
        <v/>
      </c>
      <c r="I740" s="23" t="str">
        <f t="shared" si="67"/>
        <v/>
      </c>
      <c r="J740" s="23" t="str">
        <f t="shared" si="68"/>
        <v/>
      </c>
      <c r="K740" s="18" t="str">
        <f t="shared" si="69"/>
        <v/>
      </c>
      <c r="L740" s="16" t="str">
        <f t="shared" ca="1" si="70"/>
        <v/>
      </c>
      <c r="M740" s="25" t="str">
        <f>IF(H740="","",IF(I740&lt;=0,"Shipped",IF(L740&lt;=AGE30,"Fresh",IF(L740&lt;=AGE60,"Watch",IF(L740&lt;=AGE90,"Aging","Old")))))</f>
        <v/>
      </c>
      <c r="N740" s="16" t="str">
        <f t="shared" si="71"/>
        <v/>
      </c>
    </row>
    <row r="741" spans="1:14" x14ac:dyDescent="0.2">
      <c r="A741" s="32"/>
      <c r="B741" s="27"/>
      <c r="C741" s="15" t="str">
        <f>IF(B741="","",IFERROR(INDEX(Items!$B$5:$B$19,MATCH(B741,Items!$A$5:$A$19,0)),"Unknown code"))</f>
        <v/>
      </c>
      <c r="D741" s="29"/>
      <c r="E741" s="18" t="str">
        <f>IF(B741="","",IFERROR(INDEX(Items!$C$5:$C$19,MATCH(B741,Items!$A$5:$A$19,0)),""))</f>
        <v/>
      </c>
      <c r="F741" s="18" t="str">
        <f t="shared" si="66"/>
        <v/>
      </c>
      <c r="G741" s="27"/>
      <c r="H741" s="23" t="str">
        <f>IF(OR(A741="",B741="",D741=""),"",IFERROR(INDEX(Items!$D$5:$D$19,MATCH(B741,Items!$A$5:$A$19,0))+SUMIFS(D$4:D740,B$4:B740,B741),""))</f>
        <v/>
      </c>
      <c r="I741" s="23" t="str">
        <f t="shared" si="67"/>
        <v/>
      </c>
      <c r="J741" s="23" t="str">
        <f t="shared" si="68"/>
        <v/>
      </c>
      <c r="K741" s="18" t="str">
        <f t="shared" si="69"/>
        <v/>
      </c>
      <c r="L741" s="16" t="str">
        <f t="shared" ca="1" si="70"/>
        <v/>
      </c>
      <c r="M741" s="25" t="str">
        <f>IF(H741="","",IF(I741&lt;=0,"Shipped",IF(L741&lt;=AGE30,"Fresh",IF(L741&lt;=AGE60,"Watch",IF(L741&lt;=AGE90,"Aging","Old")))))</f>
        <v/>
      </c>
      <c r="N741" s="16" t="str">
        <f t="shared" si="71"/>
        <v/>
      </c>
    </row>
    <row r="742" spans="1:14" x14ac:dyDescent="0.2">
      <c r="A742" s="32"/>
      <c r="B742" s="27"/>
      <c r="C742" s="15" t="str">
        <f>IF(B742="","",IFERROR(INDEX(Items!$B$5:$B$19,MATCH(B742,Items!$A$5:$A$19,0)),"Unknown code"))</f>
        <v/>
      </c>
      <c r="D742" s="29"/>
      <c r="E742" s="18" t="str">
        <f>IF(B742="","",IFERROR(INDEX(Items!$C$5:$C$19,MATCH(B742,Items!$A$5:$A$19,0)),""))</f>
        <v/>
      </c>
      <c r="F742" s="18" t="str">
        <f t="shared" si="66"/>
        <v/>
      </c>
      <c r="G742" s="27"/>
      <c r="H742" s="23" t="str">
        <f>IF(OR(A742="",B742="",D742=""),"",IFERROR(INDEX(Items!$D$5:$D$19,MATCH(B742,Items!$A$5:$A$19,0))+SUMIFS(D$4:D741,B$4:B741,B742),""))</f>
        <v/>
      </c>
      <c r="I742" s="23" t="str">
        <f t="shared" si="67"/>
        <v/>
      </c>
      <c r="J742" s="23" t="str">
        <f t="shared" si="68"/>
        <v/>
      </c>
      <c r="K742" s="18" t="str">
        <f t="shared" si="69"/>
        <v/>
      </c>
      <c r="L742" s="16" t="str">
        <f t="shared" ca="1" si="70"/>
        <v/>
      </c>
      <c r="M742" s="25" t="str">
        <f>IF(H742="","",IF(I742&lt;=0,"Shipped",IF(L742&lt;=AGE30,"Fresh",IF(L742&lt;=AGE60,"Watch",IF(L742&lt;=AGE90,"Aging","Old")))))</f>
        <v/>
      </c>
      <c r="N742" s="16" t="str">
        <f t="shared" si="71"/>
        <v/>
      </c>
    </row>
    <row r="743" spans="1:14" x14ac:dyDescent="0.2">
      <c r="A743" s="32"/>
      <c r="B743" s="27"/>
      <c r="C743" s="15" t="str">
        <f>IF(B743="","",IFERROR(INDEX(Items!$B$5:$B$19,MATCH(B743,Items!$A$5:$A$19,0)),"Unknown code"))</f>
        <v/>
      </c>
      <c r="D743" s="29"/>
      <c r="E743" s="18" t="str">
        <f>IF(B743="","",IFERROR(INDEX(Items!$C$5:$C$19,MATCH(B743,Items!$A$5:$A$19,0)),""))</f>
        <v/>
      </c>
      <c r="F743" s="18" t="str">
        <f t="shared" si="66"/>
        <v/>
      </c>
      <c r="G743" s="27"/>
      <c r="H743" s="23" t="str">
        <f>IF(OR(A743="",B743="",D743=""),"",IFERROR(INDEX(Items!$D$5:$D$19,MATCH(B743,Items!$A$5:$A$19,0))+SUMIFS(D$4:D742,B$4:B742,B743),""))</f>
        <v/>
      </c>
      <c r="I743" s="23" t="str">
        <f t="shared" si="67"/>
        <v/>
      </c>
      <c r="J743" s="23" t="str">
        <f t="shared" si="68"/>
        <v/>
      </c>
      <c r="K743" s="18" t="str">
        <f t="shared" si="69"/>
        <v/>
      </c>
      <c r="L743" s="16" t="str">
        <f t="shared" ca="1" si="70"/>
        <v/>
      </c>
      <c r="M743" s="25" t="str">
        <f>IF(H743="","",IF(I743&lt;=0,"Shipped",IF(L743&lt;=AGE30,"Fresh",IF(L743&lt;=AGE60,"Watch",IF(L743&lt;=AGE90,"Aging","Old")))))</f>
        <v/>
      </c>
      <c r="N743" s="16" t="str">
        <f t="shared" si="71"/>
        <v/>
      </c>
    </row>
    <row r="744" spans="1:14" x14ac:dyDescent="0.2">
      <c r="A744" s="32"/>
      <c r="B744" s="27"/>
      <c r="C744" s="15" t="str">
        <f>IF(B744="","",IFERROR(INDEX(Items!$B$5:$B$19,MATCH(B744,Items!$A$5:$A$19,0)),"Unknown code"))</f>
        <v/>
      </c>
      <c r="D744" s="29"/>
      <c r="E744" s="18" t="str">
        <f>IF(B744="","",IFERROR(INDEX(Items!$C$5:$C$19,MATCH(B744,Items!$A$5:$A$19,0)),""))</f>
        <v/>
      </c>
      <c r="F744" s="18" t="str">
        <f t="shared" si="66"/>
        <v/>
      </c>
      <c r="G744" s="27"/>
      <c r="H744" s="23" t="str">
        <f>IF(OR(A744="",B744="",D744=""),"",IFERROR(INDEX(Items!$D$5:$D$19,MATCH(B744,Items!$A$5:$A$19,0))+SUMIFS(D$4:D743,B$4:B743,B744),""))</f>
        <v/>
      </c>
      <c r="I744" s="23" t="str">
        <f t="shared" si="67"/>
        <v/>
      </c>
      <c r="J744" s="23" t="str">
        <f t="shared" si="68"/>
        <v/>
      </c>
      <c r="K744" s="18" t="str">
        <f t="shared" si="69"/>
        <v/>
      </c>
      <c r="L744" s="16" t="str">
        <f t="shared" ca="1" si="70"/>
        <v/>
      </c>
      <c r="M744" s="25" t="str">
        <f>IF(H744="","",IF(I744&lt;=0,"Shipped",IF(L744&lt;=AGE30,"Fresh",IF(L744&lt;=AGE60,"Watch",IF(L744&lt;=AGE90,"Aging","Old")))))</f>
        <v/>
      </c>
      <c r="N744" s="16" t="str">
        <f t="shared" si="71"/>
        <v/>
      </c>
    </row>
    <row r="745" spans="1:14" x14ac:dyDescent="0.2">
      <c r="A745" s="32"/>
      <c r="B745" s="27"/>
      <c r="C745" s="15" t="str">
        <f>IF(B745="","",IFERROR(INDEX(Items!$B$5:$B$19,MATCH(B745,Items!$A$5:$A$19,0)),"Unknown code"))</f>
        <v/>
      </c>
      <c r="D745" s="29"/>
      <c r="E745" s="18" t="str">
        <f>IF(B745="","",IFERROR(INDEX(Items!$C$5:$C$19,MATCH(B745,Items!$A$5:$A$19,0)),""))</f>
        <v/>
      </c>
      <c r="F745" s="18" t="str">
        <f t="shared" si="66"/>
        <v/>
      </c>
      <c r="G745" s="27"/>
      <c r="H745" s="23" t="str">
        <f>IF(OR(A745="",B745="",D745=""),"",IFERROR(INDEX(Items!$D$5:$D$19,MATCH(B745,Items!$A$5:$A$19,0))+SUMIFS(D$4:D744,B$4:B744,B745),""))</f>
        <v/>
      </c>
      <c r="I745" s="23" t="str">
        <f t="shared" si="67"/>
        <v/>
      </c>
      <c r="J745" s="23" t="str">
        <f t="shared" si="68"/>
        <v/>
      </c>
      <c r="K745" s="18" t="str">
        <f t="shared" si="69"/>
        <v/>
      </c>
      <c r="L745" s="16" t="str">
        <f t="shared" ca="1" si="70"/>
        <v/>
      </c>
      <c r="M745" s="25" t="str">
        <f>IF(H745="","",IF(I745&lt;=0,"Shipped",IF(L745&lt;=AGE30,"Fresh",IF(L745&lt;=AGE60,"Watch",IF(L745&lt;=AGE90,"Aging","Old")))))</f>
        <v/>
      </c>
      <c r="N745" s="16" t="str">
        <f t="shared" si="71"/>
        <v/>
      </c>
    </row>
    <row r="746" spans="1:14" x14ac:dyDescent="0.2">
      <c r="A746" s="32"/>
      <c r="B746" s="27"/>
      <c r="C746" s="15" t="str">
        <f>IF(B746="","",IFERROR(INDEX(Items!$B$5:$B$19,MATCH(B746,Items!$A$5:$A$19,0)),"Unknown code"))</f>
        <v/>
      </c>
      <c r="D746" s="29"/>
      <c r="E746" s="18" t="str">
        <f>IF(B746="","",IFERROR(INDEX(Items!$C$5:$C$19,MATCH(B746,Items!$A$5:$A$19,0)),""))</f>
        <v/>
      </c>
      <c r="F746" s="18" t="str">
        <f t="shared" si="66"/>
        <v/>
      </c>
      <c r="G746" s="27"/>
      <c r="H746" s="23" t="str">
        <f>IF(OR(A746="",B746="",D746=""),"",IFERROR(INDEX(Items!$D$5:$D$19,MATCH(B746,Items!$A$5:$A$19,0))+SUMIFS(D$4:D745,B$4:B745,B746),""))</f>
        <v/>
      </c>
      <c r="I746" s="23" t="str">
        <f t="shared" si="67"/>
        <v/>
      </c>
      <c r="J746" s="23" t="str">
        <f t="shared" si="68"/>
        <v/>
      </c>
      <c r="K746" s="18" t="str">
        <f t="shared" si="69"/>
        <v/>
      </c>
      <c r="L746" s="16" t="str">
        <f t="shared" ca="1" si="70"/>
        <v/>
      </c>
      <c r="M746" s="25" t="str">
        <f>IF(H746="","",IF(I746&lt;=0,"Shipped",IF(L746&lt;=AGE30,"Fresh",IF(L746&lt;=AGE60,"Watch",IF(L746&lt;=AGE90,"Aging","Old")))))</f>
        <v/>
      </c>
      <c r="N746" s="16" t="str">
        <f t="shared" si="71"/>
        <v/>
      </c>
    </row>
    <row r="747" spans="1:14" x14ac:dyDescent="0.2">
      <c r="A747" s="32"/>
      <c r="B747" s="27"/>
      <c r="C747" s="15" t="str">
        <f>IF(B747="","",IFERROR(INDEX(Items!$B$5:$B$19,MATCH(B747,Items!$A$5:$A$19,0)),"Unknown code"))</f>
        <v/>
      </c>
      <c r="D747" s="29"/>
      <c r="E747" s="18" t="str">
        <f>IF(B747="","",IFERROR(INDEX(Items!$C$5:$C$19,MATCH(B747,Items!$A$5:$A$19,0)),""))</f>
        <v/>
      </c>
      <c r="F747" s="18" t="str">
        <f t="shared" si="66"/>
        <v/>
      </c>
      <c r="G747" s="27"/>
      <c r="H747" s="23" t="str">
        <f>IF(OR(A747="",B747="",D747=""),"",IFERROR(INDEX(Items!$D$5:$D$19,MATCH(B747,Items!$A$5:$A$19,0))+SUMIFS(D$4:D746,B$4:B746,B747),""))</f>
        <v/>
      </c>
      <c r="I747" s="23" t="str">
        <f t="shared" si="67"/>
        <v/>
      </c>
      <c r="J747" s="23" t="str">
        <f t="shared" si="68"/>
        <v/>
      </c>
      <c r="K747" s="18" t="str">
        <f t="shared" si="69"/>
        <v/>
      </c>
      <c r="L747" s="16" t="str">
        <f t="shared" ca="1" si="70"/>
        <v/>
      </c>
      <c r="M747" s="25" t="str">
        <f>IF(H747="","",IF(I747&lt;=0,"Shipped",IF(L747&lt;=AGE30,"Fresh",IF(L747&lt;=AGE60,"Watch",IF(L747&lt;=AGE90,"Aging","Old")))))</f>
        <v/>
      </c>
      <c r="N747" s="16" t="str">
        <f t="shared" si="71"/>
        <v/>
      </c>
    </row>
    <row r="748" spans="1:14" x14ac:dyDescent="0.2">
      <c r="A748" s="32"/>
      <c r="B748" s="27"/>
      <c r="C748" s="15" t="str">
        <f>IF(B748="","",IFERROR(INDEX(Items!$B$5:$B$19,MATCH(B748,Items!$A$5:$A$19,0)),"Unknown code"))</f>
        <v/>
      </c>
      <c r="D748" s="29"/>
      <c r="E748" s="18" t="str">
        <f>IF(B748="","",IFERROR(INDEX(Items!$C$5:$C$19,MATCH(B748,Items!$A$5:$A$19,0)),""))</f>
        <v/>
      </c>
      <c r="F748" s="18" t="str">
        <f t="shared" si="66"/>
        <v/>
      </c>
      <c r="G748" s="27"/>
      <c r="H748" s="23" t="str">
        <f>IF(OR(A748="",B748="",D748=""),"",IFERROR(INDEX(Items!$D$5:$D$19,MATCH(B748,Items!$A$5:$A$19,0))+SUMIFS(D$4:D747,B$4:B747,B748),""))</f>
        <v/>
      </c>
      <c r="I748" s="23" t="str">
        <f t="shared" si="67"/>
        <v/>
      </c>
      <c r="J748" s="23" t="str">
        <f t="shared" si="68"/>
        <v/>
      </c>
      <c r="K748" s="18" t="str">
        <f t="shared" si="69"/>
        <v/>
      </c>
      <c r="L748" s="16" t="str">
        <f t="shared" ca="1" si="70"/>
        <v/>
      </c>
      <c r="M748" s="25" t="str">
        <f>IF(H748="","",IF(I748&lt;=0,"Shipped",IF(L748&lt;=AGE30,"Fresh",IF(L748&lt;=AGE60,"Watch",IF(L748&lt;=AGE90,"Aging","Old")))))</f>
        <v/>
      </c>
      <c r="N748" s="16" t="str">
        <f t="shared" si="71"/>
        <v/>
      </c>
    </row>
    <row r="749" spans="1:14" x14ac:dyDescent="0.2">
      <c r="A749" s="32"/>
      <c r="B749" s="27"/>
      <c r="C749" s="15" t="str">
        <f>IF(B749="","",IFERROR(INDEX(Items!$B$5:$B$19,MATCH(B749,Items!$A$5:$A$19,0)),"Unknown code"))</f>
        <v/>
      </c>
      <c r="D749" s="29"/>
      <c r="E749" s="18" t="str">
        <f>IF(B749="","",IFERROR(INDEX(Items!$C$5:$C$19,MATCH(B749,Items!$A$5:$A$19,0)),""))</f>
        <v/>
      </c>
      <c r="F749" s="18" t="str">
        <f t="shared" si="66"/>
        <v/>
      </c>
      <c r="G749" s="27"/>
      <c r="H749" s="23" t="str">
        <f>IF(OR(A749="",B749="",D749=""),"",IFERROR(INDEX(Items!$D$5:$D$19,MATCH(B749,Items!$A$5:$A$19,0))+SUMIFS(D$4:D748,B$4:B748,B749),""))</f>
        <v/>
      </c>
      <c r="I749" s="23" t="str">
        <f t="shared" si="67"/>
        <v/>
      </c>
      <c r="J749" s="23" t="str">
        <f t="shared" si="68"/>
        <v/>
      </c>
      <c r="K749" s="18" t="str">
        <f t="shared" si="69"/>
        <v/>
      </c>
      <c r="L749" s="16" t="str">
        <f t="shared" ca="1" si="70"/>
        <v/>
      </c>
      <c r="M749" s="25" t="str">
        <f>IF(H749="","",IF(I749&lt;=0,"Shipped",IF(L749&lt;=AGE30,"Fresh",IF(L749&lt;=AGE60,"Watch",IF(L749&lt;=AGE90,"Aging","Old")))))</f>
        <v/>
      </c>
      <c r="N749" s="16" t="str">
        <f t="shared" si="71"/>
        <v/>
      </c>
    </row>
    <row r="750" spans="1:14" x14ac:dyDescent="0.2">
      <c r="A750" s="32"/>
      <c r="B750" s="27"/>
      <c r="C750" s="15" t="str">
        <f>IF(B750="","",IFERROR(INDEX(Items!$B$5:$B$19,MATCH(B750,Items!$A$5:$A$19,0)),"Unknown code"))</f>
        <v/>
      </c>
      <c r="D750" s="29"/>
      <c r="E750" s="18" t="str">
        <f>IF(B750="","",IFERROR(INDEX(Items!$C$5:$C$19,MATCH(B750,Items!$A$5:$A$19,0)),""))</f>
        <v/>
      </c>
      <c r="F750" s="18" t="str">
        <f t="shared" si="66"/>
        <v/>
      </c>
      <c r="G750" s="27"/>
      <c r="H750" s="23" t="str">
        <f>IF(OR(A750="",B750="",D750=""),"",IFERROR(INDEX(Items!$D$5:$D$19,MATCH(B750,Items!$A$5:$A$19,0))+SUMIFS(D$4:D749,B$4:B749,B750),""))</f>
        <v/>
      </c>
      <c r="I750" s="23" t="str">
        <f t="shared" si="67"/>
        <v/>
      </c>
      <c r="J750" s="23" t="str">
        <f t="shared" si="68"/>
        <v/>
      </c>
      <c r="K750" s="18" t="str">
        <f t="shared" si="69"/>
        <v/>
      </c>
      <c r="L750" s="16" t="str">
        <f t="shared" ca="1" si="70"/>
        <v/>
      </c>
      <c r="M750" s="25" t="str">
        <f>IF(H750="","",IF(I750&lt;=0,"Shipped",IF(L750&lt;=AGE30,"Fresh",IF(L750&lt;=AGE60,"Watch",IF(L750&lt;=AGE90,"Aging","Old")))))</f>
        <v/>
      </c>
      <c r="N750" s="16" t="str">
        <f t="shared" si="71"/>
        <v/>
      </c>
    </row>
    <row r="751" spans="1:14" x14ac:dyDescent="0.2">
      <c r="A751" s="32"/>
      <c r="B751" s="27"/>
      <c r="C751" s="15" t="str">
        <f>IF(B751="","",IFERROR(INDEX(Items!$B$5:$B$19,MATCH(B751,Items!$A$5:$A$19,0)),"Unknown code"))</f>
        <v/>
      </c>
      <c r="D751" s="29"/>
      <c r="E751" s="18" t="str">
        <f>IF(B751="","",IFERROR(INDEX(Items!$C$5:$C$19,MATCH(B751,Items!$A$5:$A$19,0)),""))</f>
        <v/>
      </c>
      <c r="F751" s="18" t="str">
        <f t="shared" si="66"/>
        <v/>
      </c>
      <c r="G751" s="27"/>
      <c r="H751" s="23" t="str">
        <f>IF(OR(A751="",B751="",D751=""),"",IFERROR(INDEX(Items!$D$5:$D$19,MATCH(B751,Items!$A$5:$A$19,0))+SUMIFS(D$4:D750,B$4:B750,B751),""))</f>
        <v/>
      </c>
      <c r="I751" s="23" t="str">
        <f t="shared" si="67"/>
        <v/>
      </c>
      <c r="J751" s="23" t="str">
        <f t="shared" si="68"/>
        <v/>
      </c>
      <c r="K751" s="18" t="str">
        <f t="shared" si="69"/>
        <v/>
      </c>
      <c r="L751" s="16" t="str">
        <f t="shared" ca="1" si="70"/>
        <v/>
      </c>
      <c r="M751" s="25" t="str">
        <f>IF(H751="","",IF(I751&lt;=0,"Shipped",IF(L751&lt;=AGE30,"Fresh",IF(L751&lt;=AGE60,"Watch",IF(L751&lt;=AGE90,"Aging","Old")))))</f>
        <v/>
      </c>
      <c r="N751" s="16" t="str">
        <f t="shared" si="71"/>
        <v/>
      </c>
    </row>
    <row r="752" spans="1:14" x14ac:dyDescent="0.2">
      <c r="A752" s="32"/>
      <c r="B752" s="27"/>
      <c r="C752" s="15" t="str">
        <f>IF(B752="","",IFERROR(INDEX(Items!$B$5:$B$19,MATCH(B752,Items!$A$5:$A$19,0)),"Unknown code"))</f>
        <v/>
      </c>
      <c r="D752" s="29"/>
      <c r="E752" s="18" t="str">
        <f>IF(B752="","",IFERROR(INDEX(Items!$C$5:$C$19,MATCH(B752,Items!$A$5:$A$19,0)),""))</f>
        <v/>
      </c>
      <c r="F752" s="18" t="str">
        <f t="shared" si="66"/>
        <v/>
      </c>
      <c r="G752" s="27"/>
      <c r="H752" s="23" t="str">
        <f>IF(OR(A752="",B752="",D752=""),"",IFERROR(INDEX(Items!$D$5:$D$19,MATCH(B752,Items!$A$5:$A$19,0))+SUMIFS(D$4:D751,B$4:B751,B752),""))</f>
        <v/>
      </c>
      <c r="I752" s="23" t="str">
        <f t="shared" si="67"/>
        <v/>
      </c>
      <c r="J752" s="23" t="str">
        <f t="shared" si="68"/>
        <v/>
      </c>
      <c r="K752" s="18" t="str">
        <f t="shared" si="69"/>
        <v/>
      </c>
      <c r="L752" s="16" t="str">
        <f t="shared" ca="1" si="70"/>
        <v/>
      </c>
      <c r="M752" s="25" t="str">
        <f>IF(H752="","",IF(I752&lt;=0,"Shipped",IF(L752&lt;=AGE30,"Fresh",IF(L752&lt;=AGE60,"Watch",IF(L752&lt;=AGE90,"Aging","Old")))))</f>
        <v/>
      </c>
      <c r="N752" s="16" t="str">
        <f t="shared" si="71"/>
        <v/>
      </c>
    </row>
    <row r="753" spans="1:14" x14ac:dyDescent="0.2">
      <c r="A753" s="32"/>
      <c r="B753" s="27"/>
      <c r="C753" s="15" t="str">
        <f>IF(B753="","",IFERROR(INDEX(Items!$B$5:$B$19,MATCH(B753,Items!$A$5:$A$19,0)),"Unknown code"))</f>
        <v/>
      </c>
      <c r="D753" s="29"/>
      <c r="E753" s="18" t="str">
        <f>IF(B753="","",IFERROR(INDEX(Items!$C$5:$C$19,MATCH(B753,Items!$A$5:$A$19,0)),""))</f>
        <v/>
      </c>
      <c r="F753" s="18" t="str">
        <f t="shared" si="66"/>
        <v/>
      </c>
      <c r="G753" s="27"/>
      <c r="H753" s="23" t="str">
        <f>IF(OR(A753="",B753="",D753=""),"",IFERROR(INDEX(Items!$D$5:$D$19,MATCH(B753,Items!$A$5:$A$19,0))+SUMIFS(D$4:D752,B$4:B752,B753),""))</f>
        <v/>
      </c>
      <c r="I753" s="23" t="str">
        <f t="shared" si="67"/>
        <v/>
      </c>
      <c r="J753" s="23" t="str">
        <f t="shared" si="68"/>
        <v/>
      </c>
      <c r="K753" s="18" t="str">
        <f t="shared" si="69"/>
        <v/>
      </c>
      <c r="L753" s="16" t="str">
        <f t="shared" ca="1" si="70"/>
        <v/>
      </c>
      <c r="M753" s="25" t="str">
        <f>IF(H753="","",IF(I753&lt;=0,"Shipped",IF(L753&lt;=AGE30,"Fresh",IF(L753&lt;=AGE60,"Watch",IF(L753&lt;=AGE90,"Aging","Old")))))</f>
        <v/>
      </c>
      <c r="N753" s="16" t="str">
        <f t="shared" si="71"/>
        <v/>
      </c>
    </row>
    <row r="754" spans="1:14" x14ac:dyDescent="0.2">
      <c r="A754" s="32"/>
      <c r="B754" s="27"/>
      <c r="C754" s="15" t="str">
        <f>IF(B754="","",IFERROR(INDEX(Items!$B$5:$B$19,MATCH(B754,Items!$A$5:$A$19,0)),"Unknown code"))</f>
        <v/>
      </c>
      <c r="D754" s="29"/>
      <c r="E754" s="18" t="str">
        <f>IF(B754="","",IFERROR(INDEX(Items!$C$5:$C$19,MATCH(B754,Items!$A$5:$A$19,0)),""))</f>
        <v/>
      </c>
      <c r="F754" s="18" t="str">
        <f t="shared" si="66"/>
        <v/>
      </c>
      <c r="G754" s="27"/>
      <c r="H754" s="23" t="str">
        <f>IF(OR(A754="",B754="",D754=""),"",IFERROR(INDEX(Items!$D$5:$D$19,MATCH(B754,Items!$A$5:$A$19,0))+SUMIFS(D$4:D753,B$4:B753,B754),""))</f>
        <v/>
      </c>
      <c r="I754" s="23" t="str">
        <f t="shared" si="67"/>
        <v/>
      </c>
      <c r="J754" s="23" t="str">
        <f t="shared" si="68"/>
        <v/>
      </c>
      <c r="K754" s="18" t="str">
        <f t="shared" si="69"/>
        <v/>
      </c>
      <c r="L754" s="16" t="str">
        <f t="shared" ca="1" si="70"/>
        <v/>
      </c>
      <c r="M754" s="25" t="str">
        <f>IF(H754="","",IF(I754&lt;=0,"Shipped",IF(L754&lt;=AGE30,"Fresh",IF(L754&lt;=AGE60,"Watch",IF(L754&lt;=AGE90,"Aging","Old")))))</f>
        <v/>
      </c>
      <c r="N754" s="16" t="str">
        <f t="shared" si="71"/>
        <v/>
      </c>
    </row>
    <row r="755" spans="1:14" x14ac:dyDescent="0.2">
      <c r="A755" s="32"/>
      <c r="B755" s="27"/>
      <c r="C755" s="15" t="str">
        <f>IF(B755="","",IFERROR(INDEX(Items!$B$5:$B$19,MATCH(B755,Items!$A$5:$A$19,0)),"Unknown code"))</f>
        <v/>
      </c>
      <c r="D755" s="29"/>
      <c r="E755" s="18" t="str">
        <f>IF(B755="","",IFERROR(INDEX(Items!$C$5:$C$19,MATCH(B755,Items!$A$5:$A$19,0)),""))</f>
        <v/>
      </c>
      <c r="F755" s="18" t="str">
        <f t="shared" si="66"/>
        <v/>
      </c>
      <c r="G755" s="27"/>
      <c r="H755" s="23" t="str">
        <f>IF(OR(A755="",B755="",D755=""),"",IFERROR(INDEX(Items!$D$5:$D$19,MATCH(B755,Items!$A$5:$A$19,0))+SUMIFS(D$4:D754,B$4:B754,B755),""))</f>
        <v/>
      </c>
      <c r="I755" s="23" t="str">
        <f t="shared" si="67"/>
        <v/>
      </c>
      <c r="J755" s="23" t="str">
        <f t="shared" si="68"/>
        <v/>
      </c>
      <c r="K755" s="18" t="str">
        <f t="shared" si="69"/>
        <v/>
      </c>
      <c r="L755" s="16" t="str">
        <f t="shared" ca="1" si="70"/>
        <v/>
      </c>
      <c r="M755" s="25" t="str">
        <f>IF(H755="","",IF(I755&lt;=0,"Shipped",IF(L755&lt;=AGE30,"Fresh",IF(L755&lt;=AGE60,"Watch",IF(L755&lt;=AGE90,"Aging","Old")))))</f>
        <v/>
      </c>
      <c r="N755" s="16" t="str">
        <f t="shared" si="71"/>
        <v/>
      </c>
    </row>
    <row r="756" spans="1:14" x14ac:dyDescent="0.2">
      <c r="A756" s="32"/>
      <c r="B756" s="27"/>
      <c r="C756" s="15" t="str">
        <f>IF(B756="","",IFERROR(INDEX(Items!$B$5:$B$19,MATCH(B756,Items!$A$5:$A$19,0)),"Unknown code"))</f>
        <v/>
      </c>
      <c r="D756" s="29"/>
      <c r="E756" s="18" t="str">
        <f>IF(B756="","",IFERROR(INDEX(Items!$C$5:$C$19,MATCH(B756,Items!$A$5:$A$19,0)),""))</f>
        <v/>
      </c>
      <c r="F756" s="18" t="str">
        <f t="shared" si="66"/>
        <v/>
      </c>
      <c r="G756" s="27"/>
      <c r="H756" s="23" t="str">
        <f>IF(OR(A756="",B756="",D756=""),"",IFERROR(INDEX(Items!$D$5:$D$19,MATCH(B756,Items!$A$5:$A$19,0))+SUMIFS(D$4:D755,B$4:B755,B756),""))</f>
        <v/>
      </c>
      <c r="I756" s="23" t="str">
        <f t="shared" si="67"/>
        <v/>
      </c>
      <c r="J756" s="23" t="str">
        <f t="shared" si="68"/>
        <v/>
      </c>
      <c r="K756" s="18" t="str">
        <f t="shared" si="69"/>
        <v/>
      </c>
      <c r="L756" s="16" t="str">
        <f t="shared" ca="1" si="70"/>
        <v/>
      </c>
      <c r="M756" s="25" t="str">
        <f>IF(H756="","",IF(I756&lt;=0,"Shipped",IF(L756&lt;=AGE30,"Fresh",IF(L756&lt;=AGE60,"Watch",IF(L756&lt;=AGE90,"Aging","Old")))))</f>
        <v/>
      </c>
      <c r="N756" s="16" t="str">
        <f t="shared" si="71"/>
        <v/>
      </c>
    </row>
    <row r="757" spans="1:14" x14ac:dyDescent="0.2">
      <c r="A757" s="32"/>
      <c r="B757" s="27"/>
      <c r="C757" s="15" t="str">
        <f>IF(B757="","",IFERROR(INDEX(Items!$B$5:$B$19,MATCH(B757,Items!$A$5:$A$19,0)),"Unknown code"))</f>
        <v/>
      </c>
      <c r="D757" s="29"/>
      <c r="E757" s="18" t="str">
        <f>IF(B757="","",IFERROR(INDEX(Items!$C$5:$C$19,MATCH(B757,Items!$A$5:$A$19,0)),""))</f>
        <v/>
      </c>
      <c r="F757" s="18" t="str">
        <f t="shared" si="66"/>
        <v/>
      </c>
      <c r="G757" s="27"/>
      <c r="H757" s="23" t="str">
        <f>IF(OR(A757="",B757="",D757=""),"",IFERROR(INDEX(Items!$D$5:$D$19,MATCH(B757,Items!$A$5:$A$19,0))+SUMIFS(D$4:D756,B$4:B756,B757),""))</f>
        <v/>
      </c>
      <c r="I757" s="23" t="str">
        <f t="shared" si="67"/>
        <v/>
      </c>
      <c r="J757" s="23" t="str">
        <f t="shared" si="68"/>
        <v/>
      </c>
      <c r="K757" s="18" t="str">
        <f t="shared" si="69"/>
        <v/>
      </c>
      <c r="L757" s="16" t="str">
        <f t="shared" ca="1" si="70"/>
        <v/>
      </c>
      <c r="M757" s="25" t="str">
        <f>IF(H757="","",IF(I757&lt;=0,"Shipped",IF(L757&lt;=AGE30,"Fresh",IF(L757&lt;=AGE60,"Watch",IF(L757&lt;=AGE90,"Aging","Old")))))</f>
        <v/>
      </c>
      <c r="N757" s="16" t="str">
        <f t="shared" si="71"/>
        <v/>
      </c>
    </row>
    <row r="758" spans="1:14" x14ac:dyDescent="0.2">
      <c r="A758" s="32"/>
      <c r="B758" s="27"/>
      <c r="C758" s="15" t="str">
        <f>IF(B758="","",IFERROR(INDEX(Items!$B$5:$B$19,MATCH(B758,Items!$A$5:$A$19,0)),"Unknown code"))</f>
        <v/>
      </c>
      <c r="D758" s="29"/>
      <c r="E758" s="18" t="str">
        <f>IF(B758="","",IFERROR(INDEX(Items!$C$5:$C$19,MATCH(B758,Items!$A$5:$A$19,0)),""))</f>
        <v/>
      </c>
      <c r="F758" s="18" t="str">
        <f t="shared" si="66"/>
        <v/>
      </c>
      <c r="G758" s="27"/>
      <c r="H758" s="23" t="str">
        <f>IF(OR(A758="",B758="",D758=""),"",IFERROR(INDEX(Items!$D$5:$D$19,MATCH(B758,Items!$A$5:$A$19,0))+SUMIFS(D$4:D757,B$4:B757,B758),""))</f>
        <v/>
      </c>
      <c r="I758" s="23" t="str">
        <f t="shared" si="67"/>
        <v/>
      </c>
      <c r="J758" s="23" t="str">
        <f t="shared" si="68"/>
        <v/>
      </c>
      <c r="K758" s="18" t="str">
        <f t="shared" si="69"/>
        <v/>
      </c>
      <c r="L758" s="16" t="str">
        <f t="shared" ca="1" si="70"/>
        <v/>
      </c>
      <c r="M758" s="25" t="str">
        <f>IF(H758="","",IF(I758&lt;=0,"Shipped",IF(L758&lt;=AGE30,"Fresh",IF(L758&lt;=AGE60,"Watch",IF(L758&lt;=AGE90,"Aging","Old")))))</f>
        <v/>
      </c>
      <c r="N758" s="16" t="str">
        <f t="shared" si="71"/>
        <v/>
      </c>
    </row>
    <row r="759" spans="1:14" x14ac:dyDescent="0.2">
      <c r="A759" s="32"/>
      <c r="B759" s="27"/>
      <c r="C759" s="15" t="str">
        <f>IF(B759="","",IFERROR(INDEX(Items!$B$5:$B$19,MATCH(B759,Items!$A$5:$A$19,0)),"Unknown code"))</f>
        <v/>
      </c>
      <c r="D759" s="29"/>
      <c r="E759" s="18" t="str">
        <f>IF(B759="","",IFERROR(INDEX(Items!$C$5:$C$19,MATCH(B759,Items!$A$5:$A$19,0)),""))</f>
        <v/>
      </c>
      <c r="F759" s="18" t="str">
        <f t="shared" si="66"/>
        <v/>
      </c>
      <c r="G759" s="27"/>
      <c r="H759" s="23" t="str">
        <f>IF(OR(A759="",B759="",D759=""),"",IFERROR(INDEX(Items!$D$5:$D$19,MATCH(B759,Items!$A$5:$A$19,0))+SUMIFS(D$4:D758,B$4:B758,B759),""))</f>
        <v/>
      </c>
      <c r="I759" s="23" t="str">
        <f t="shared" si="67"/>
        <v/>
      </c>
      <c r="J759" s="23" t="str">
        <f t="shared" si="68"/>
        <v/>
      </c>
      <c r="K759" s="18" t="str">
        <f t="shared" si="69"/>
        <v/>
      </c>
      <c r="L759" s="16" t="str">
        <f t="shared" ca="1" si="70"/>
        <v/>
      </c>
      <c r="M759" s="25" t="str">
        <f>IF(H759="","",IF(I759&lt;=0,"Shipped",IF(L759&lt;=AGE30,"Fresh",IF(L759&lt;=AGE60,"Watch",IF(L759&lt;=AGE90,"Aging","Old")))))</f>
        <v/>
      </c>
      <c r="N759" s="16" t="str">
        <f t="shared" si="71"/>
        <v/>
      </c>
    </row>
    <row r="760" spans="1:14" x14ac:dyDescent="0.2">
      <c r="A760" s="32"/>
      <c r="B760" s="27"/>
      <c r="C760" s="15" t="str">
        <f>IF(B760="","",IFERROR(INDEX(Items!$B$5:$B$19,MATCH(B760,Items!$A$5:$A$19,0)),"Unknown code"))</f>
        <v/>
      </c>
      <c r="D760" s="29"/>
      <c r="E760" s="18" t="str">
        <f>IF(B760="","",IFERROR(INDEX(Items!$C$5:$C$19,MATCH(B760,Items!$A$5:$A$19,0)),""))</f>
        <v/>
      </c>
      <c r="F760" s="18" t="str">
        <f t="shared" si="66"/>
        <v/>
      </c>
      <c r="G760" s="27"/>
      <c r="H760" s="23" t="str">
        <f>IF(OR(A760="",B760="",D760=""),"",IFERROR(INDEX(Items!$D$5:$D$19,MATCH(B760,Items!$A$5:$A$19,0))+SUMIFS(D$4:D759,B$4:B759,B760),""))</f>
        <v/>
      </c>
      <c r="I760" s="23" t="str">
        <f t="shared" si="67"/>
        <v/>
      </c>
      <c r="J760" s="23" t="str">
        <f t="shared" si="68"/>
        <v/>
      </c>
      <c r="K760" s="18" t="str">
        <f t="shared" si="69"/>
        <v/>
      </c>
      <c r="L760" s="16" t="str">
        <f t="shared" ca="1" si="70"/>
        <v/>
      </c>
      <c r="M760" s="25" t="str">
        <f>IF(H760="","",IF(I760&lt;=0,"Shipped",IF(L760&lt;=AGE30,"Fresh",IF(L760&lt;=AGE60,"Watch",IF(L760&lt;=AGE90,"Aging","Old")))))</f>
        <v/>
      </c>
      <c r="N760" s="16" t="str">
        <f t="shared" si="71"/>
        <v/>
      </c>
    </row>
    <row r="761" spans="1:14" x14ac:dyDescent="0.2">
      <c r="A761" s="32"/>
      <c r="B761" s="27"/>
      <c r="C761" s="15" t="str">
        <f>IF(B761="","",IFERROR(INDEX(Items!$B$5:$B$19,MATCH(B761,Items!$A$5:$A$19,0)),"Unknown code"))</f>
        <v/>
      </c>
      <c r="D761" s="29"/>
      <c r="E761" s="18" t="str">
        <f>IF(B761="","",IFERROR(INDEX(Items!$C$5:$C$19,MATCH(B761,Items!$A$5:$A$19,0)),""))</f>
        <v/>
      </c>
      <c r="F761" s="18" t="str">
        <f t="shared" si="66"/>
        <v/>
      </c>
      <c r="G761" s="27"/>
      <c r="H761" s="23" t="str">
        <f>IF(OR(A761="",B761="",D761=""),"",IFERROR(INDEX(Items!$D$5:$D$19,MATCH(B761,Items!$A$5:$A$19,0))+SUMIFS(D$4:D760,B$4:B760,B761),""))</f>
        <v/>
      </c>
      <c r="I761" s="23" t="str">
        <f t="shared" si="67"/>
        <v/>
      </c>
      <c r="J761" s="23" t="str">
        <f t="shared" si="68"/>
        <v/>
      </c>
      <c r="K761" s="18" t="str">
        <f t="shared" si="69"/>
        <v/>
      </c>
      <c r="L761" s="16" t="str">
        <f t="shared" ca="1" si="70"/>
        <v/>
      </c>
      <c r="M761" s="25" t="str">
        <f>IF(H761="","",IF(I761&lt;=0,"Shipped",IF(L761&lt;=AGE30,"Fresh",IF(L761&lt;=AGE60,"Watch",IF(L761&lt;=AGE90,"Aging","Old")))))</f>
        <v/>
      </c>
      <c r="N761" s="16" t="str">
        <f t="shared" si="71"/>
        <v/>
      </c>
    </row>
    <row r="762" spans="1:14" x14ac:dyDescent="0.2">
      <c r="A762" s="32"/>
      <c r="B762" s="27"/>
      <c r="C762" s="15" t="str">
        <f>IF(B762="","",IFERROR(INDEX(Items!$B$5:$B$19,MATCH(B762,Items!$A$5:$A$19,0)),"Unknown code"))</f>
        <v/>
      </c>
      <c r="D762" s="29"/>
      <c r="E762" s="18" t="str">
        <f>IF(B762="","",IFERROR(INDEX(Items!$C$5:$C$19,MATCH(B762,Items!$A$5:$A$19,0)),""))</f>
        <v/>
      </c>
      <c r="F762" s="18" t="str">
        <f t="shared" si="66"/>
        <v/>
      </c>
      <c r="G762" s="27"/>
      <c r="H762" s="23" t="str">
        <f>IF(OR(A762="",B762="",D762=""),"",IFERROR(INDEX(Items!$D$5:$D$19,MATCH(B762,Items!$A$5:$A$19,0))+SUMIFS(D$4:D761,B$4:B761,B762),""))</f>
        <v/>
      </c>
      <c r="I762" s="23" t="str">
        <f t="shared" si="67"/>
        <v/>
      </c>
      <c r="J762" s="23" t="str">
        <f t="shared" si="68"/>
        <v/>
      </c>
      <c r="K762" s="18" t="str">
        <f t="shared" si="69"/>
        <v/>
      </c>
      <c r="L762" s="16" t="str">
        <f t="shared" ca="1" si="70"/>
        <v/>
      </c>
      <c r="M762" s="25" t="str">
        <f>IF(H762="","",IF(I762&lt;=0,"Shipped",IF(L762&lt;=AGE30,"Fresh",IF(L762&lt;=AGE60,"Watch",IF(L762&lt;=AGE90,"Aging","Old")))))</f>
        <v/>
      </c>
      <c r="N762" s="16" t="str">
        <f t="shared" si="71"/>
        <v/>
      </c>
    </row>
    <row r="763" spans="1:14" x14ac:dyDescent="0.2">
      <c r="A763" s="32"/>
      <c r="B763" s="27"/>
      <c r="C763" s="15" t="str">
        <f>IF(B763="","",IFERROR(INDEX(Items!$B$5:$B$19,MATCH(B763,Items!$A$5:$A$19,0)),"Unknown code"))</f>
        <v/>
      </c>
      <c r="D763" s="29"/>
      <c r="E763" s="18" t="str">
        <f>IF(B763="","",IFERROR(INDEX(Items!$C$5:$C$19,MATCH(B763,Items!$A$5:$A$19,0)),""))</f>
        <v/>
      </c>
      <c r="F763" s="18" t="str">
        <f t="shared" si="66"/>
        <v/>
      </c>
      <c r="G763" s="27"/>
      <c r="H763" s="23" t="str">
        <f>IF(OR(A763="",B763="",D763=""),"",IFERROR(INDEX(Items!$D$5:$D$19,MATCH(B763,Items!$A$5:$A$19,0))+SUMIFS(D$4:D762,B$4:B762,B763),""))</f>
        <v/>
      </c>
      <c r="I763" s="23" t="str">
        <f t="shared" si="67"/>
        <v/>
      </c>
      <c r="J763" s="23" t="str">
        <f t="shared" si="68"/>
        <v/>
      </c>
      <c r="K763" s="18" t="str">
        <f t="shared" si="69"/>
        <v/>
      </c>
      <c r="L763" s="16" t="str">
        <f t="shared" ca="1" si="70"/>
        <v/>
      </c>
      <c r="M763" s="25" t="str">
        <f>IF(H763="","",IF(I763&lt;=0,"Shipped",IF(L763&lt;=AGE30,"Fresh",IF(L763&lt;=AGE60,"Watch",IF(L763&lt;=AGE90,"Aging","Old")))))</f>
        <v/>
      </c>
      <c r="N763" s="16" t="str">
        <f t="shared" si="71"/>
        <v/>
      </c>
    </row>
    <row r="764" spans="1:14" x14ac:dyDescent="0.2">
      <c r="A764" s="32"/>
      <c r="B764" s="27"/>
      <c r="C764" s="15" t="str">
        <f>IF(B764="","",IFERROR(INDEX(Items!$B$5:$B$19,MATCH(B764,Items!$A$5:$A$19,0)),"Unknown code"))</f>
        <v/>
      </c>
      <c r="D764" s="29"/>
      <c r="E764" s="18" t="str">
        <f>IF(B764="","",IFERROR(INDEX(Items!$C$5:$C$19,MATCH(B764,Items!$A$5:$A$19,0)),""))</f>
        <v/>
      </c>
      <c r="F764" s="18" t="str">
        <f t="shared" si="66"/>
        <v/>
      </c>
      <c r="G764" s="27"/>
      <c r="H764" s="23" t="str">
        <f>IF(OR(A764="",B764="",D764=""),"",IFERROR(INDEX(Items!$D$5:$D$19,MATCH(B764,Items!$A$5:$A$19,0))+SUMIFS(D$4:D763,B$4:B763,B764),""))</f>
        <v/>
      </c>
      <c r="I764" s="23" t="str">
        <f t="shared" si="67"/>
        <v/>
      </c>
      <c r="J764" s="23" t="str">
        <f t="shared" si="68"/>
        <v/>
      </c>
      <c r="K764" s="18" t="str">
        <f t="shared" si="69"/>
        <v/>
      </c>
      <c r="L764" s="16" t="str">
        <f t="shared" ca="1" si="70"/>
        <v/>
      </c>
      <c r="M764" s="25" t="str">
        <f>IF(H764="","",IF(I764&lt;=0,"Shipped",IF(L764&lt;=AGE30,"Fresh",IF(L764&lt;=AGE60,"Watch",IF(L764&lt;=AGE90,"Aging","Old")))))</f>
        <v/>
      </c>
      <c r="N764" s="16" t="str">
        <f t="shared" si="71"/>
        <v/>
      </c>
    </row>
    <row r="765" spans="1:14" x14ac:dyDescent="0.2">
      <c r="A765" s="32"/>
      <c r="B765" s="27"/>
      <c r="C765" s="15" t="str">
        <f>IF(B765="","",IFERROR(INDEX(Items!$B$5:$B$19,MATCH(B765,Items!$A$5:$A$19,0)),"Unknown code"))</f>
        <v/>
      </c>
      <c r="D765" s="29"/>
      <c r="E765" s="18" t="str">
        <f>IF(B765="","",IFERROR(INDEX(Items!$C$5:$C$19,MATCH(B765,Items!$A$5:$A$19,0)),""))</f>
        <v/>
      </c>
      <c r="F765" s="18" t="str">
        <f t="shared" si="66"/>
        <v/>
      </c>
      <c r="G765" s="27"/>
      <c r="H765" s="23" t="str">
        <f>IF(OR(A765="",B765="",D765=""),"",IFERROR(INDEX(Items!$D$5:$D$19,MATCH(B765,Items!$A$5:$A$19,0))+SUMIFS(D$4:D764,B$4:B764,B765),""))</f>
        <v/>
      </c>
      <c r="I765" s="23" t="str">
        <f t="shared" si="67"/>
        <v/>
      </c>
      <c r="J765" s="23" t="str">
        <f t="shared" si="68"/>
        <v/>
      </c>
      <c r="K765" s="18" t="str">
        <f t="shared" si="69"/>
        <v/>
      </c>
      <c r="L765" s="16" t="str">
        <f t="shared" ca="1" si="70"/>
        <v/>
      </c>
      <c r="M765" s="25" t="str">
        <f>IF(H765="","",IF(I765&lt;=0,"Shipped",IF(L765&lt;=AGE30,"Fresh",IF(L765&lt;=AGE60,"Watch",IF(L765&lt;=AGE90,"Aging","Old")))))</f>
        <v/>
      </c>
      <c r="N765" s="16" t="str">
        <f t="shared" si="71"/>
        <v/>
      </c>
    </row>
    <row r="766" spans="1:14" x14ac:dyDescent="0.2">
      <c r="A766" s="32"/>
      <c r="B766" s="27"/>
      <c r="C766" s="15" t="str">
        <f>IF(B766="","",IFERROR(INDEX(Items!$B$5:$B$19,MATCH(B766,Items!$A$5:$A$19,0)),"Unknown code"))</f>
        <v/>
      </c>
      <c r="D766" s="29"/>
      <c r="E766" s="18" t="str">
        <f>IF(B766="","",IFERROR(INDEX(Items!$C$5:$C$19,MATCH(B766,Items!$A$5:$A$19,0)),""))</f>
        <v/>
      </c>
      <c r="F766" s="18" t="str">
        <f t="shared" si="66"/>
        <v/>
      </c>
      <c r="G766" s="27"/>
      <c r="H766" s="23" t="str">
        <f>IF(OR(A766="",B766="",D766=""),"",IFERROR(INDEX(Items!$D$5:$D$19,MATCH(B766,Items!$A$5:$A$19,0))+SUMIFS(D$4:D765,B$4:B765,B766),""))</f>
        <v/>
      </c>
      <c r="I766" s="23" t="str">
        <f t="shared" si="67"/>
        <v/>
      </c>
      <c r="J766" s="23" t="str">
        <f t="shared" si="68"/>
        <v/>
      </c>
      <c r="K766" s="18" t="str">
        <f t="shared" si="69"/>
        <v/>
      </c>
      <c r="L766" s="16" t="str">
        <f t="shared" ca="1" si="70"/>
        <v/>
      </c>
      <c r="M766" s="25" t="str">
        <f>IF(H766="","",IF(I766&lt;=0,"Shipped",IF(L766&lt;=AGE30,"Fresh",IF(L766&lt;=AGE60,"Watch",IF(L766&lt;=AGE90,"Aging","Old")))))</f>
        <v/>
      </c>
      <c r="N766" s="16" t="str">
        <f t="shared" si="71"/>
        <v/>
      </c>
    </row>
    <row r="767" spans="1:14" x14ac:dyDescent="0.2">
      <c r="A767" s="32"/>
      <c r="B767" s="27"/>
      <c r="C767" s="15" t="str">
        <f>IF(B767="","",IFERROR(INDEX(Items!$B$5:$B$19,MATCH(B767,Items!$A$5:$A$19,0)),"Unknown code"))</f>
        <v/>
      </c>
      <c r="D767" s="29"/>
      <c r="E767" s="18" t="str">
        <f>IF(B767="","",IFERROR(INDEX(Items!$C$5:$C$19,MATCH(B767,Items!$A$5:$A$19,0)),""))</f>
        <v/>
      </c>
      <c r="F767" s="18" t="str">
        <f t="shared" si="66"/>
        <v/>
      </c>
      <c r="G767" s="27"/>
      <c r="H767" s="23" t="str">
        <f>IF(OR(A767="",B767="",D767=""),"",IFERROR(INDEX(Items!$D$5:$D$19,MATCH(B767,Items!$A$5:$A$19,0))+SUMIFS(D$4:D766,B$4:B766,B767),""))</f>
        <v/>
      </c>
      <c r="I767" s="23" t="str">
        <f t="shared" si="67"/>
        <v/>
      </c>
      <c r="J767" s="23" t="str">
        <f t="shared" si="68"/>
        <v/>
      </c>
      <c r="K767" s="18" t="str">
        <f t="shared" si="69"/>
        <v/>
      </c>
      <c r="L767" s="16" t="str">
        <f t="shared" ca="1" si="70"/>
        <v/>
      </c>
      <c r="M767" s="25" t="str">
        <f>IF(H767="","",IF(I767&lt;=0,"Shipped",IF(L767&lt;=AGE30,"Fresh",IF(L767&lt;=AGE60,"Watch",IF(L767&lt;=AGE90,"Aging","Old")))))</f>
        <v/>
      </c>
      <c r="N767" s="16" t="str">
        <f t="shared" si="71"/>
        <v/>
      </c>
    </row>
    <row r="768" spans="1:14" x14ac:dyDescent="0.2">
      <c r="A768" s="32"/>
      <c r="B768" s="27"/>
      <c r="C768" s="15" t="str">
        <f>IF(B768="","",IFERROR(INDEX(Items!$B$5:$B$19,MATCH(B768,Items!$A$5:$A$19,0)),"Unknown code"))</f>
        <v/>
      </c>
      <c r="D768" s="29"/>
      <c r="E768" s="18" t="str">
        <f>IF(B768="","",IFERROR(INDEX(Items!$C$5:$C$19,MATCH(B768,Items!$A$5:$A$19,0)),""))</f>
        <v/>
      </c>
      <c r="F768" s="18" t="str">
        <f t="shared" si="66"/>
        <v/>
      </c>
      <c r="G768" s="27"/>
      <c r="H768" s="23" t="str">
        <f>IF(OR(A768="",B768="",D768=""),"",IFERROR(INDEX(Items!$D$5:$D$19,MATCH(B768,Items!$A$5:$A$19,0))+SUMIFS(D$4:D767,B$4:B767,B768),""))</f>
        <v/>
      </c>
      <c r="I768" s="23" t="str">
        <f t="shared" si="67"/>
        <v/>
      </c>
      <c r="J768" s="23" t="str">
        <f t="shared" si="68"/>
        <v/>
      </c>
      <c r="K768" s="18" t="str">
        <f t="shared" si="69"/>
        <v/>
      </c>
      <c r="L768" s="16" t="str">
        <f t="shared" ca="1" si="70"/>
        <v/>
      </c>
      <c r="M768" s="25" t="str">
        <f>IF(H768="","",IF(I768&lt;=0,"Shipped",IF(L768&lt;=AGE30,"Fresh",IF(L768&lt;=AGE60,"Watch",IF(L768&lt;=AGE90,"Aging","Old")))))</f>
        <v/>
      </c>
      <c r="N768" s="16" t="str">
        <f t="shared" si="71"/>
        <v/>
      </c>
    </row>
    <row r="769" spans="1:14" x14ac:dyDescent="0.2">
      <c r="A769" s="32"/>
      <c r="B769" s="27"/>
      <c r="C769" s="15" t="str">
        <f>IF(B769="","",IFERROR(INDEX(Items!$B$5:$B$19,MATCH(B769,Items!$A$5:$A$19,0)),"Unknown code"))</f>
        <v/>
      </c>
      <c r="D769" s="29"/>
      <c r="E769" s="18" t="str">
        <f>IF(B769="","",IFERROR(INDEX(Items!$C$5:$C$19,MATCH(B769,Items!$A$5:$A$19,0)),""))</f>
        <v/>
      </c>
      <c r="F769" s="18" t="str">
        <f t="shared" si="66"/>
        <v/>
      </c>
      <c r="G769" s="27"/>
      <c r="H769" s="23" t="str">
        <f>IF(OR(A769="",B769="",D769=""),"",IFERROR(INDEX(Items!$D$5:$D$19,MATCH(B769,Items!$A$5:$A$19,0))+SUMIFS(D$4:D768,B$4:B768,B769),""))</f>
        <v/>
      </c>
      <c r="I769" s="23" t="str">
        <f t="shared" si="67"/>
        <v/>
      </c>
      <c r="J769" s="23" t="str">
        <f t="shared" si="68"/>
        <v/>
      </c>
      <c r="K769" s="18" t="str">
        <f t="shared" si="69"/>
        <v/>
      </c>
      <c r="L769" s="16" t="str">
        <f t="shared" ca="1" si="70"/>
        <v/>
      </c>
      <c r="M769" s="25" t="str">
        <f>IF(H769="","",IF(I769&lt;=0,"Shipped",IF(L769&lt;=AGE30,"Fresh",IF(L769&lt;=AGE60,"Watch",IF(L769&lt;=AGE90,"Aging","Old")))))</f>
        <v/>
      </c>
      <c r="N769" s="16" t="str">
        <f t="shared" si="71"/>
        <v/>
      </c>
    </row>
    <row r="770" spans="1:14" x14ac:dyDescent="0.2">
      <c r="A770" s="32"/>
      <c r="B770" s="27"/>
      <c r="C770" s="15" t="str">
        <f>IF(B770="","",IFERROR(INDEX(Items!$B$5:$B$19,MATCH(B770,Items!$A$5:$A$19,0)),"Unknown code"))</f>
        <v/>
      </c>
      <c r="D770" s="29"/>
      <c r="E770" s="18" t="str">
        <f>IF(B770="","",IFERROR(INDEX(Items!$C$5:$C$19,MATCH(B770,Items!$A$5:$A$19,0)),""))</f>
        <v/>
      </c>
      <c r="F770" s="18" t="str">
        <f t="shared" si="66"/>
        <v/>
      </c>
      <c r="G770" s="27"/>
      <c r="H770" s="23" t="str">
        <f>IF(OR(A770="",B770="",D770=""),"",IFERROR(INDEX(Items!$D$5:$D$19,MATCH(B770,Items!$A$5:$A$19,0))+SUMIFS(D$4:D769,B$4:B769,B770),""))</f>
        <v/>
      </c>
      <c r="I770" s="23" t="str">
        <f t="shared" si="67"/>
        <v/>
      </c>
      <c r="J770" s="23" t="str">
        <f t="shared" si="68"/>
        <v/>
      </c>
      <c r="K770" s="18" t="str">
        <f t="shared" si="69"/>
        <v/>
      </c>
      <c r="L770" s="16" t="str">
        <f t="shared" ca="1" si="70"/>
        <v/>
      </c>
      <c r="M770" s="25" t="str">
        <f>IF(H770="","",IF(I770&lt;=0,"Shipped",IF(L770&lt;=AGE30,"Fresh",IF(L770&lt;=AGE60,"Watch",IF(L770&lt;=AGE90,"Aging","Old")))))</f>
        <v/>
      </c>
      <c r="N770" s="16" t="str">
        <f t="shared" si="71"/>
        <v/>
      </c>
    </row>
    <row r="771" spans="1:14" x14ac:dyDescent="0.2">
      <c r="A771" s="32"/>
      <c r="B771" s="27"/>
      <c r="C771" s="15" t="str">
        <f>IF(B771="","",IFERROR(INDEX(Items!$B$5:$B$19,MATCH(B771,Items!$A$5:$A$19,0)),"Unknown code"))</f>
        <v/>
      </c>
      <c r="D771" s="29"/>
      <c r="E771" s="18" t="str">
        <f>IF(B771="","",IFERROR(INDEX(Items!$C$5:$C$19,MATCH(B771,Items!$A$5:$A$19,0)),""))</f>
        <v/>
      </c>
      <c r="F771" s="18" t="str">
        <f t="shared" si="66"/>
        <v/>
      </c>
      <c r="G771" s="27"/>
      <c r="H771" s="23" t="str">
        <f>IF(OR(A771="",B771="",D771=""),"",IFERROR(INDEX(Items!$D$5:$D$19,MATCH(B771,Items!$A$5:$A$19,0))+SUMIFS(D$4:D770,B$4:B770,B771),""))</f>
        <v/>
      </c>
      <c r="I771" s="23" t="str">
        <f t="shared" si="67"/>
        <v/>
      </c>
      <c r="J771" s="23" t="str">
        <f t="shared" si="68"/>
        <v/>
      </c>
      <c r="K771" s="18" t="str">
        <f t="shared" si="69"/>
        <v/>
      </c>
      <c r="L771" s="16" t="str">
        <f t="shared" ca="1" si="70"/>
        <v/>
      </c>
      <c r="M771" s="25" t="str">
        <f>IF(H771="","",IF(I771&lt;=0,"Shipped",IF(L771&lt;=AGE30,"Fresh",IF(L771&lt;=AGE60,"Watch",IF(L771&lt;=AGE90,"Aging","Old")))))</f>
        <v/>
      </c>
      <c r="N771" s="16" t="str">
        <f t="shared" si="71"/>
        <v/>
      </c>
    </row>
    <row r="772" spans="1:14" x14ac:dyDescent="0.2">
      <c r="A772" s="32"/>
      <c r="B772" s="27"/>
      <c r="C772" s="15" t="str">
        <f>IF(B772="","",IFERROR(INDEX(Items!$B$5:$B$19,MATCH(B772,Items!$A$5:$A$19,0)),"Unknown code"))</f>
        <v/>
      </c>
      <c r="D772" s="29"/>
      <c r="E772" s="18" t="str">
        <f>IF(B772="","",IFERROR(INDEX(Items!$C$5:$C$19,MATCH(B772,Items!$A$5:$A$19,0)),""))</f>
        <v/>
      </c>
      <c r="F772" s="18" t="str">
        <f t="shared" si="66"/>
        <v/>
      </c>
      <c r="G772" s="27"/>
      <c r="H772" s="23" t="str">
        <f>IF(OR(A772="",B772="",D772=""),"",IFERROR(INDEX(Items!$D$5:$D$19,MATCH(B772,Items!$A$5:$A$19,0))+SUMIFS(D$4:D771,B$4:B771,B772),""))</f>
        <v/>
      </c>
      <c r="I772" s="23" t="str">
        <f t="shared" si="67"/>
        <v/>
      </c>
      <c r="J772" s="23" t="str">
        <f t="shared" si="68"/>
        <v/>
      </c>
      <c r="K772" s="18" t="str">
        <f t="shared" si="69"/>
        <v/>
      </c>
      <c r="L772" s="16" t="str">
        <f t="shared" ca="1" si="70"/>
        <v/>
      </c>
      <c r="M772" s="25" t="str">
        <f>IF(H772="","",IF(I772&lt;=0,"Shipped",IF(L772&lt;=AGE30,"Fresh",IF(L772&lt;=AGE60,"Watch",IF(L772&lt;=AGE90,"Aging","Old")))))</f>
        <v/>
      </c>
      <c r="N772" s="16" t="str">
        <f t="shared" si="71"/>
        <v/>
      </c>
    </row>
    <row r="773" spans="1:14" x14ac:dyDescent="0.2">
      <c r="A773" s="32"/>
      <c r="B773" s="27"/>
      <c r="C773" s="15" t="str">
        <f>IF(B773="","",IFERROR(INDEX(Items!$B$5:$B$19,MATCH(B773,Items!$A$5:$A$19,0)),"Unknown code"))</f>
        <v/>
      </c>
      <c r="D773" s="29"/>
      <c r="E773" s="18" t="str">
        <f>IF(B773="","",IFERROR(INDEX(Items!$C$5:$C$19,MATCH(B773,Items!$A$5:$A$19,0)),""))</f>
        <v/>
      </c>
      <c r="F773" s="18" t="str">
        <f t="shared" ref="F773:F836" si="72">IF(OR(D773="",E773=""),"",D773*E773)</f>
        <v/>
      </c>
      <c r="G773" s="27"/>
      <c r="H773" s="23" t="str">
        <f>IF(OR(A773="",B773="",D773=""),"",IFERROR(INDEX(Items!$D$5:$D$19,MATCH(B773,Items!$A$5:$A$19,0))+SUMIFS(D$4:D772,B$4:B772,B773),""))</f>
        <v/>
      </c>
      <c r="I773" s="23" t="str">
        <f t="shared" ref="I773:I836" si="73">IF(H773="","",MAX(0,MIN(D773,H773+D773-TotalShipped)))</f>
        <v/>
      </c>
      <c r="J773" s="23" t="str">
        <f t="shared" ref="J773:J836" si="74">IF(H773="","",D773-I773)</f>
        <v/>
      </c>
      <c r="K773" s="18" t="str">
        <f t="shared" ref="K773:K836" si="75">IF(OR(H773="",E773=""),"",I773*E773)</f>
        <v/>
      </c>
      <c r="L773" s="16" t="str">
        <f t="shared" ref="L773:L836" ca="1" si="76">IF(H773="","",IF(I773&gt;0,TODAY()-A773,""))</f>
        <v/>
      </c>
      <c r="M773" s="25" t="str">
        <f>IF(H773="","",IF(I773&lt;=0,"Shipped",IF(L773&lt;=AGE30,"Fresh",IF(L773&lt;=AGE60,"Watch",IF(L773&lt;=AGE90,"Aging","Old")))))</f>
        <v/>
      </c>
      <c r="N773" s="16" t="str">
        <f t="shared" ref="N773:N836" si="77">IF(H773="","",J773*A773)</f>
        <v/>
      </c>
    </row>
    <row r="774" spans="1:14" x14ac:dyDescent="0.2">
      <c r="A774" s="32"/>
      <c r="B774" s="27"/>
      <c r="C774" s="15" t="str">
        <f>IF(B774="","",IFERROR(INDEX(Items!$B$5:$B$19,MATCH(B774,Items!$A$5:$A$19,0)),"Unknown code"))</f>
        <v/>
      </c>
      <c r="D774" s="29"/>
      <c r="E774" s="18" t="str">
        <f>IF(B774="","",IFERROR(INDEX(Items!$C$5:$C$19,MATCH(B774,Items!$A$5:$A$19,0)),""))</f>
        <v/>
      </c>
      <c r="F774" s="18" t="str">
        <f t="shared" si="72"/>
        <v/>
      </c>
      <c r="G774" s="27"/>
      <c r="H774" s="23" t="str">
        <f>IF(OR(A774="",B774="",D774=""),"",IFERROR(INDEX(Items!$D$5:$D$19,MATCH(B774,Items!$A$5:$A$19,0))+SUMIFS(D$4:D773,B$4:B773,B774),""))</f>
        <v/>
      </c>
      <c r="I774" s="23" t="str">
        <f t="shared" si="73"/>
        <v/>
      </c>
      <c r="J774" s="23" t="str">
        <f t="shared" si="74"/>
        <v/>
      </c>
      <c r="K774" s="18" t="str">
        <f t="shared" si="75"/>
        <v/>
      </c>
      <c r="L774" s="16" t="str">
        <f t="shared" ca="1" si="76"/>
        <v/>
      </c>
      <c r="M774" s="25" t="str">
        <f>IF(H774="","",IF(I774&lt;=0,"Shipped",IF(L774&lt;=AGE30,"Fresh",IF(L774&lt;=AGE60,"Watch",IF(L774&lt;=AGE90,"Aging","Old")))))</f>
        <v/>
      </c>
      <c r="N774" s="16" t="str">
        <f t="shared" si="77"/>
        <v/>
      </c>
    </row>
    <row r="775" spans="1:14" x14ac:dyDescent="0.2">
      <c r="A775" s="32"/>
      <c r="B775" s="27"/>
      <c r="C775" s="15" t="str">
        <f>IF(B775="","",IFERROR(INDEX(Items!$B$5:$B$19,MATCH(B775,Items!$A$5:$A$19,0)),"Unknown code"))</f>
        <v/>
      </c>
      <c r="D775" s="29"/>
      <c r="E775" s="18" t="str">
        <f>IF(B775="","",IFERROR(INDEX(Items!$C$5:$C$19,MATCH(B775,Items!$A$5:$A$19,0)),""))</f>
        <v/>
      </c>
      <c r="F775" s="18" t="str">
        <f t="shared" si="72"/>
        <v/>
      </c>
      <c r="G775" s="27"/>
      <c r="H775" s="23" t="str">
        <f>IF(OR(A775="",B775="",D775=""),"",IFERROR(INDEX(Items!$D$5:$D$19,MATCH(B775,Items!$A$5:$A$19,0))+SUMIFS(D$4:D774,B$4:B774,B775),""))</f>
        <v/>
      </c>
      <c r="I775" s="23" t="str">
        <f t="shared" si="73"/>
        <v/>
      </c>
      <c r="J775" s="23" t="str">
        <f t="shared" si="74"/>
        <v/>
      </c>
      <c r="K775" s="18" t="str">
        <f t="shared" si="75"/>
        <v/>
      </c>
      <c r="L775" s="16" t="str">
        <f t="shared" ca="1" si="76"/>
        <v/>
      </c>
      <c r="M775" s="25" t="str">
        <f>IF(H775="","",IF(I775&lt;=0,"Shipped",IF(L775&lt;=AGE30,"Fresh",IF(L775&lt;=AGE60,"Watch",IF(L775&lt;=AGE90,"Aging","Old")))))</f>
        <v/>
      </c>
      <c r="N775" s="16" t="str">
        <f t="shared" si="77"/>
        <v/>
      </c>
    </row>
    <row r="776" spans="1:14" x14ac:dyDescent="0.2">
      <c r="A776" s="32"/>
      <c r="B776" s="27"/>
      <c r="C776" s="15" t="str">
        <f>IF(B776="","",IFERROR(INDEX(Items!$B$5:$B$19,MATCH(B776,Items!$A$5:$A$19,0)),"Unknown code"))</f>
        <v/>
      </c>
      <c r="D776" s="29"/>
      <c r="E776" s="18" t="str">
        <f>IF(B776="","",IFERROR(INDEX(Items!$C$5:$C$19,MATCH(B776,Items!$A$5:$A$19,0)),""))</f>
        <v/>
      </c>
      <c r="F776" s="18" t="str">
        <f t="shared" si="72"/>
        <v/>
      </c>
      <c r="G776" s="27"/>
      <c r="H776" s="23" t="str">
        <f>IF(OR(A776="",B776="",D776=""),"",IFERROR(INDEX(Items!$D$5:$D$19,MATCH(B776,Items!$A$5:$A$19,0))+SUMIFS(D$4:D775,B$4:B775,B776),""))</f>
        <v/>
      </c>
      <c r="I776" s="23" t="str">
        <f t="shared" si="73"/>
        <v/>
      </c>
      <c r="J776" s="23" t="str">
        <f t="shared" si="74"/>
        <v/>
      </c>
      <c r="K776" s="18" t="str">
        <f t="shared" si="75"/>
        <v/>
      </c>
      <c r="L776" s="16" t="str">
        <f t="shared" ca="1" si="76"/>
        <v/>
      </c>
      <c r="M776" s="25" t="str">
        <f>IF(H776="","",IF(I776&lt;=0,"Shipped",IF(L776&lt;=AGE30,"Fresh",IF(L776&lt;=AGE60,"Watch",IF(L776&lt;=AGE90,"Aging","Old")))))</f>
        <v/>
      </c>
      <c r="N776" s="16" t="str">
        <f t="shared" si="77"/>
        <v/>
      </c>
    </row>
    <row r="777" spans="1:14" x14ac:dyDescent="0.2">
      <c r="A777" s="32"/>
      <c r="B777" s="27"/>
      <c r="C777" s="15" t="str">
        <f>IF(B777="","",IFERROR(INDEX(Items!$B$5:$B$19,MATCH(B777,Items!$A$5:$A$19,0)),"Unknown code"))</f>
        <v/>
      </c>
      <c r="D777" s="29"/>
      <c r="E777" s="18" t="str">
        <f>IF(B777="","",IFERROR(INDEX(Items!$C$5:$C$19,MATCH(B777,Items!$A$5:$A$19,0)),""))</f>
        <v/>
      </c>
      <c r="F777" s="18" t="str">
        <f t="shared" si="72"/>
        <v/>
      </c>
      <c r="G777" s="27"/>
      <c r="H777" s="23" t="str">
        <f>IF(OR(A777="",B777="",D777=""),"",IFERROR(INDEX(Items!$D$5:$D$19,MATCH(B777,Items!$A$5:$A$19,0))+SUMIFS(D$4:D776,B$4:B776,B777),""))</f>
        <v/>
      </c>
      <c r="I777" s="23" t="str">
        <f t="shared" si="73"/>
        <v/>
      </c>
      <c r="J777" s="23" t="str">
        <f t="shared" si="74"/>
        <v/>
      </c>
      <c r="K777" s="18" t="str">
        <f t="shared" si="75"/>
        <v/>
      </c>
      <c r="L777" s="16" t="str">
        <f t="shared" ca="1" si="76"/>
        <v/>
      </c>
      <c r="M777" s="25" t="str">
        <f>IF(H777="","",IF(I777&lt;=0,"Shipped",IF(L777&lt;=AGE30,"Fresh",IF(L777&lt;=AGE60,"Watch",IF(L777&lt;=AGE90,"Aging","Old")))))</f>
        <v/>
      </c>
      <c r="N777" s="16" t="str">
        <f t="shared" si="77"/>
        <v/>
      </c>
    </row>
    <row r="778" spans="1:14" x14ac:dyDescent="0.2">
      <c r="A778" s="32"/>
      <c r="B778" s="27"/>
      <c r="C778" s="15" t="str">
        <f>IF(B778="","",IFERROR(INDEX(Items!$B$5:$B$19,MATCH(B778,Items!$A$5:$A$19,0)),"Unknown code"))</f>
        <v/>
      </c>
      <c r="D778" s="29"/>
      <c r="E778" s="18" t="str">
        <f>IF(B778="","",IFERROR(INDEX(Items!$C$5:$C$19,MATCH(B778,Items!$A$5:$A$19,0)),""))</f>
        <v/>
      </c>
      <c r="F778" s="18" t="str">
        <f t="shared" si="72"/>
        <v/>
      </c>
      <c r="G778" s="27"/>
      <c r="H778" s="23" t="str">
        <f>IF(OR(A778="",B778="",D778=""),"",IFERROR(INDEX(Items!$D$5:$D$19,MATCH(B778,Items!$A$5:$A$19,0))+SUMIFS(D$4:D777,B$4:B777,B778),""))</f>
        <v/>
      </c>
      <c r="I778" s="23" t="str">
        <f t="shared" si="73"/>
        <v/>
      </c>
      <c r="J778" s="23" t="str">
        <f t="shared" si="74"/>
        <v/>
      </c>
      <c r="K778" s="18" t="str">
        <f t="shared" si="75"/>
        <v/>
      </c>
      <c r="L778" s="16" t="str">
        <f t="shared" ca="1" si="76"/>
        <v/>
      </c>
      <c r="M778" s="25" t="str">
        <f>IF(H778="","",IF(I778&lt;=0,"Shipped",IF(L778&lt;=AGE30,"Fresh",IF(L778&lt;=AGE60,"Watch",IF(L778&lt;=AGE90,"Aging","Old")))))</f>
        <v/>
      </c>
      <c r="N778" s="16" t="str">
        <f t="shared" si="77"/>
        <v/>
      </c>
    </row>
    <row r="779" spans="1:14" x14ac:dyDescent="0.2">
      <c r="A779" s="32"/>
      <c r="B779" s="27"/>
      <c r="C779" s="15" t="str">
        <f>IF(B779="","",IFERROR(INDEX(Items!$B$5:$B$19,MATCH(B779,Items!$A$5:$A$19,0)),"Unknown code"))</f>
        <v/>
      </c>
      <c r="D779" s="29"/>
      <c r="E779" s="18" t="str">
        <f>IF(B779="","",IFERROR(INDEX(Items!$C$5:$C$19,MATCH(B779,Items!$A$5:$A$19,0)),""))</f>
        <v/>
      </c>
      <c r="F779" s="18" t="str">
        <f t="shared" si="72"/>
        <v/>
      </c>
      <c r="G779" s="27"/>
      <c r="H779" s="23" t="str">
        <f>IF(OR(A779="",B779="",D779=""),"",IFERROR(INDEX(Items!$D$5:$D$19,MATCH(B779,Items!$A$5:$A$19,0))+SUMIFS(D$4:D778,B$4:B778,B779),""))</f>
        <v/>
      </c>
      <c r="I779" s="23" t="str">
        <f t="shared" si="73"/>
        <v/>
      </c>
      <c r="J779" s="23" t="str">
        <f t="shared" si="74"/>
        <v/>
      </c>
      <c r="K779" s="18" t="str">
        <f t="shared" si="75"/>
        <v/>
      </c>
      <c r="L779" s="16" t="str">
        <f t="shared" ca="1" si="76"/>
        <v/>
      </c>
      <c r="M779" s="25" t="str">
        <f>IF(H779="","",IF(I779&lt;=0,"Shipped",IF(L779&lt;=AGE30,"Fresh",IF(L779&lt;=AGE60,"Watch",IF(L779&lt;=AGE90,"Aging","Old")))))</f>
        <v/>
      </c>
      <c r="N779" s="16" t="str">
        <f t="shared" si="77"/>
        <v/>
      </c>
    </row>
    <row r="780" spans="1:14" x14ac:dyDescent="0.2">
      <c r="A780" s="32"/>
      <c r="B780" s="27"/>
      <c r="C780" s="15" t="str">
        <f>IF(B780="","",IFERROR(INDEX(Items!$B$5:$B$19,MATCH(B780,Items!$A$5:$A$19,0)),"Unknown code"))</f>
        <v/>
      </c>
      <c r="D780" s="29"/>
      <c r="E780" s="18" t="str">
        <f>IF(B780="","",IFERROR(INDEX(Items!$C$5:$C$19,MATCH(B780,Items!$A$5:$A$19,0)),""))</f>
        <v/>
      </c>
      <c r="F780" s="18" t="str">
        <f t="shared" si="72"/>
        <v/>
      </c>
      <c r="G780" s="27"/>
      <c r="H780" s="23" t="str">
        <f>IF(OR(A780="",B780="",D780=""),"",IFERROR(INDEX(Items!$D$5:$D$19,MATCH(B780,Items!$A$5:$A$19,0))+SUMIFS(D$4:D779,B$4:B779,B780),""))</f>
        <v/>
      </c>
      <c r="I780" s="23" t="str">
        <f t="shared" si="73"/>
        <v/>
      </c>
      <c r="J780" s="23" t="str">
        <f t="shared" si="74"/>
        <v/>
      </c>
      <c r="K780" s="18" t="str">
        <f t="shared" si="75"/>
        <v/>
      </c>
      <c r="L780" s="16" t="str">
        <f t="shared" ca="1" si="76"/>
        <v/>
      </c>
      <c r="M780" s="25" t="str">
        <f>IF(H780="","",IF(I780&lt;=0,"Shipped",IF(L780&lt;=AGE30,"Fresh",IF(L780&lt;=AGE60,"Watch",IF(L780&lt;=AGE90,"Aging","Old")))))</f>
        <v/>
      </c>
      <c r="N780" s="16" t="str">
        <f t="shared" si="77"/>
        <v/>
      </c>
    </row>
    <row r="781" spans="1:14" x14ac:dyDescent="0.2">
      <c r="A781" s="32"/>
      <c r="B781" s="27"/>
      <c r="C781" s="15" t="str">
        <f>IF(B781="","",IFERROR(INDEX(Items!$B$5:$B$19,MATCH(B781,Items!$A$5:$A$19,0)),"Unknown code"))</f>
        <v/>
      </c>
      <c r="D781" s="29"/>
      <c r="E781" s="18" t="str">
        <f>IF(B781="","",IFERROR(INDEX(Items!$C$5:$C$19,MATCH(B781,Items!$A$5:$A$19,0)),""))</f>
        <v/>
      </c>
      <c r="F781" s="18" t="str">
        <f t="shared" si="72"/>
        <v/>
      </c>
      <c r="G781" s="27"/>
      <c r="H781" s="23" t="str">
        <f>IF(OR(A781="",B781="",D781=""),"",IFERROR(INDEX(Items!$D$5:$D$19,MATCH(B781,Items!$A$5:$A$19,0))+SUMIFS(D$4:D780,B$4:B780,B781),""))</f>
        <v/>
      </c>
      <c r="I781" s="23" t="str">
        <f t="shared" si="73"/>
        <v/>
      </c>
      <c r="J781" s="23" t="str">
        <f t="shared" si="74"/>
        <v/>
      </c>
      <c r="K781" s="18" t="str">
        <f t="shared" si="75"/>
        <v/>
      </c>
      <c r="L781" s="16" t="str">
        <f t="shared" ca="1" si="76"/>
        <v/>
      </c>
      <c r="M781" s="25" t="str">
        <f>IF(H781="","",IF(I781&lt;=0,"Shipped",IF(L781&lt;=AGE30,"Fresh",IF(L781&lt;=AGE60,"Watch",IF(L781&lt;=AGE90,"Aging","Old")))))</f>
        <v/>
      </c>
      <c r="N781" s="16" t="str">
        <f t="shared" si="77"/>
        <v/>
      </c>
    </row>
    <row r="782" spans="1:14" x14ac:dyDescent="0.2">
      <c r="A782" s="32"/>
      <c r="B782" s="27"/>
      <c r="C782" s="15" t="str">
        <f>IF(B782="","",IFERROR(INDEX(Items!$B$5:$B$19,MATCH(B782,Items!$A$5:$A$19,0)),"Unknown code"))</f>
        <v/>
      </c>
      <c r="D782" s="29"/>
      <c r="E782" s="18" t="str">
        <f>IF(B782="","",IFERROR(INDEX(Items!$C$5:$C$19,MATCH(B782,Items!$A$5:$A$19,0)),""))</f>
        <v/>
      </c>
      <c r="F782" s="18" t="str">
        <f t="shared" si="72"/>
        <v/>
      </c>
      <c r="G782" s="27"/>
      <c r="H782" s="23" t="str">
        <f>IF(OR(A782="",B782="",D782=""),"",IFERROR(INDEX(Items!$D$5:$D$19,MATCH(B782,Items!$A$5:$A$19,0))+SUMIFS(D$4:D781,B$4:B781,B782),""))</f>
        <v/>
      </c>
      <c r="I782" s="23" t="str">
        <f t="shared" si="73"/>
        <v/>
      </c>
      <c r="J782" s="23" t="str">
        <f t="shared" si="74"/>
        <v/>
      </c>
      <c r="K782" s="18" t="str">
        <f t="shared" si="75"/>
        <v/>
      </c>
      <c r="L782" s="16" t="str">
        <f t="shared" ca="1" si="76"/>
        <v/>
      </c>
      <c r="M782" s="25" t="str">
        <f>IF(H782="","",IF(I782&lt;=0,"Shipped",IF(L782&lt;=AGE30,"Fresh",IF(L782&lt;=AGE60,"Watch",IF(L782&lt;=AGE90,"Aging","Old")))))</f>
        <v/>
      </c>
      <c r="N782" s="16" t="str">
        <f t="shared" si="77"/>
        <v/>
      </c>
    </row>
    <row r="783" spans="1:14" x14ac:dyDescent="0.2">
      <c r="A783" s="32"/>
      <c r="B783" s="27"/>
      <c r="C783" s="15" t="str">
        <f>IF(B783="","",IFERROR(INDEX(Items!$B$5:$B$19,MATCH(B783,Items!$A$5:$A$19,0)),"Unknown code"))</f>
        <v/>
      </c>
      <c r="D783" s="29"/>
      <c r="E783" s="18" t="str">
        <f>IF(B783="","",IFERROR(INDEX(Items!$C$5:$C$19,MATCH(B783,Items!$A$5:$A$19,0)),""))</f>
        <v/>
      </c>
      <c r="F783" s="18" t="str">
        <f t="shared" si="72"/>
        <v/>
      </c>
      <c r="G783" s="27"/>
      <c r="H783" s="23" t="str">
        <f>IF(OR(A783="",B783="",D783=""),"",IFERROR(INDEX(Items!$D$5:$D$19,MATCH(B783,Items!$A$5:$A$19,0))+SUMIFS(D$4:D782,B$4:B782,B783),""))</f>
        <v/>
      </c>
      <c r="I783" s="23" t="str">
        <f t="shared" si="73"/>
        <v/>
      </c>
      <c r="J783" s="23" t="str">
        <f t="shared" si="74"/>
        <v/>
      </c>
      <c r="K783" s="18" t="str">
        <f t="shared" si="75"/>
        <v/>
      </c>
      <c r="L783" s="16" t="str">
        <f t="shared" ca="1" si="76"/>
        <v/>
      </c>
      <c r="M783" s="25" t="str">
        <f>IF(H783="","",IF(I783&lt;=0,"Shipped",IF(L783&lt;=AGE30,"Fresh",IF(L783&lt;=AGE60,"Watch",IF(L783&lt;=AGE90,"Aging","Old")))))</f>
        <v/>
      </c>
      <c r="N783" s="16" t="str">
        <f t="shared" si="77"/>
        <v/>
      </c>
    </row>
    <row r="784" spans="1:14" x14ac:dyDescent="0.2">
      <c r="A784" s="32"/>
      <c r="B784" s="27"/>
      <c r="C784" s="15" t="str">
        <f>IF(B784="","",IFERROR(INDEX(Items!$B$5:$B$19,MATCH(B784,Items!$A$5:$A$19,0)),"Unknown code"))</f>
        <v/>
      </c>
      <c r="D784" s="29"/>
      <c r="E784" s="18" t="str">
        <f>IF(B784="","",IFERROR(INDEX(Items!$C$5:$C$19,MATCH(B784,Items!$A$5:$A$19,0)),""))</f>
        <v/>
      </c>
      <c r="F784" s="18" t="str">
        <f t="shared" si="72"/>
        <v/>
      </c>
      <c r="G784" s="27"/>
      <c r="H784" s="23" t="str">
        <f>IF(OR(A784="",B784="",D784=""),"",IFERROR(INDEX(Items!$D$5:$D$19,MATCH(B784,Items!$A$5:$A$19,0))+SUMIFS(D$4:D783,B$4:B783,B784),""))</f>
        <v/>
      </c>
      <c r="I784" s="23" t="str">
        <f t="shared" si="73"/>
        <v/>
      </c>
      <c r="J784" s="23" t="str">
        <f t="shared" si="74"/>
        <v/>
      </c>
      <c r="K784" s="18" t="str">
        <f t="shared" si="75"/>
        <v/>
      </c>
      <c r="L784" s="16" t="str">
        <f t="shared" ca="1" si="76"/>
        <v/>
      </c>
      <c r="M784" s="25" t="str">
        <f>IF(H784="","",IF(I784&lt;=0,"Shipped",IF(L784&lt;=AGE30,"Fresh",IF(L784&lt;=AGE60,"Watch",IF(L784&lt;=AGE90,"Aging","Old")))))</f>
        <v/>
      </c>
      <c r="N784" s="16" t="str">
        <f t="shared" si="77"/>
        <v/>
      </c>
    </row>
    <row r="785" spans="1:14" x14ac:dyDescent="0.2">
      <c r="A785" s="32"/>
      <c r="B785" s="27"/>
      <c r="C785" s="15" t="str">
        <f>IF(B785="","",IFERROR(INDEX(Items!$B$5:$B$19,MATCH(B785,Items!$A$5:$A$19,0)),"Unknown code"))</f>
        <v/>
      </c>
      <c r="D785" s="29"/>
      <c r="E785" s="18" t="str">
        <f>IF(B785="","",IFERROR(INDEX(Items!$C$5:$C$19,MATCH(B785,Items!$A$5:$A$19,0)),""))</f>
        <v/>
      </c>
      <c r="F785" s="18" t="str">
        <f t="shared" si="72"/>
        <v/>
      </c>
      <c r="G785" s="27"/>
      <c r="H785" s="23" t="str">
        <f>IF(OR(A785="",B785="",D785=""),"",IFERROR(INDEX(Items!$D$5:$D$19,MATCH(B785,Items!$A$5:$A$19,0))+SUMIFS(D$4:D784,B$4:B784,B785),""))</f>
        <v/>
      </c>
      <c r="I785" s="23" t="str">
        <f t="shared" si="73"/>
        <v/>
      </c>
      <c r="J785" s="23" t="str">
        <f t="shared" si="74"/>
        <v/>
      </c>
      <c r="K785" s="18" t="str">
        <f t="shared" si="75"/>
        <v/>
      </c>
      <c r="L785" s="16" t="str">
        <f t="shared" ca="1" si="76"/>
        <v/>
      </c>
      <c r="M785" s="25" t="str">
        <f>IF(H785="","",IF(I785&lt;=0,"Shipped",IF(L785&lt;=AGE30,"Fresh",IF(L785&lt;=AGE60,"Watch",IF(L785&lt;=AGE90,"Aging","Old")))))</f>
        <v/>
      </c>
      <c r="N785" s="16" t="str">
        <f t="shared" si="77"/>
        <v/>
      </c>
    </row>
    <row r="786" spans="1:14" x14ac:dyDescent="0.2">
      <c r="A786" s="32"/>
      <c r="B786" s="27"/>
      <c r="C786" s="15" t="str">
        <f>IF(B786="","",IFERROR(INDEX(Items!$B$5:$B$19,MATCH(B786,Items!$A$5:$A$19,0)),"Unknown code"))</f>
        <v/>
      </c>
      <c r="D786" s="29"/>
      <c r="E786" s="18" t="str">
        <f>IF(B786="","",IFERROR(INDEX(Items!$C$5:$C$19,MATCH(B786,Items!$A$5:$A$19,0)),""))</f>
        <v/>
      </c>
      <c r="F786" s="18" t="str">
        <f t="shared" si="72"/>
        <v/>
      </c>
      <c r="G786" s="27"/>
      <c r="H786" s="23" t="str">
        <f>IF(OR(A786="",B786="",D786=""),"",IFERROR(INDEX(Items!$D$5:$D$19,MATCH(B786,Items!$A$5:$A$19,0))+SUMIFS(D$4:D785,B$4:B785,B786),""))</f>
        <v/>
      </c>
      <c r="I786" s="23" t="str">
        <f t="shared" si="73"/>
        <v/>
      </c>
      <c r="J786" s="23" t="str">
        <f t="shared" si="74"/>
        <v/>
      </c>
      <c r="K786" s="18" t="str">
        <f t="shared" si="75"/>
        <v/>
      </c>
      <c r="L786" s="16" t="str">
        <f t="shared" ca="1" si="76"/>
        <v/>
      </c>
      <c r="M786" s="25" t="str">
        <f>IF(H786="","",IF(I786&lt;=0,"Shipped",IF(L786&lt;=AGE30,"Fresh",IF(L786&lt;=AGE60,"Watch",IF(L786&lt;=AGE90,"Aging","Old")))))</f>
        <v/>
      </c>
      <c r="N786" s="16" t="str">
        <f t="shared" si="77"/>
        <v/>
      </c>
    </row>
    <row r="787" spans="1:14" x14ac:dyDescent="0.2">
      <c r="A787" s="32"/>
      <c r="B787" s="27"/>
      <c r="C787" s="15" t="str">
        <f>IF(B787="","",IFERROR(INDEX(Items!$B$5:$B$19,MATCH(B787,Items!$A$5:$A$19,0)),"Unknown code"))</f>
        <v/>
      </c>
      <c r="D787" s="29"/>
      <c r="E787" s="18" t="str">
        <f>IF(B787="","",IFERROR(INDEX(Items!$C$5:$C$19,MATCH(B787,Items!$A$5:$A$19,0)),""))</f>
        <v/>
      </c>
      <c r="F787" s="18" t="str">
        <f t="shared" si="72"/>
        <v/>
      </c>
      <c r="G787" s="27"/>
      <c r="H787" s="23" t="str">
        <f>IF(OR(A787="",B787="",D787=""),"",IFERROR(INDEX(Items!$D$5:$D$19,MATCH(B787,Items!$A$5:$A$19,0))+SUMIFS(D$4:D786,B$4:B786,B787),""))</f>
        <v/>
      </c>
      <c r="I787" s="23" t="str">
        <f t="shared" si="73"/>
        <v/>
      </c>
      <c r="J787" s="23" t="str">
        <f t="shared" si="74"/>
        <v/>
      </c>
      <c r="K787" s="18" t="str">
        <f t="shared" si="75"/>
        <v/>
      </c>
      <c r="L787" s="16" t="str">
        <f t="shared" ca="1" si="76"/>
        <v/>
      </c>
      <c r="M787" s="25" t="str">
        <f>IF(H787="","",IF(I787&lt;=0,"Shipped",IF(L787&lt;=AGE30,"Fresh",IF(L787&lt;=AGE60,"Watch",IF(L787&lt;=AGE90,"Aging","Old")))))</f>
        <v/>
      </c>
      <c r="N787" s="16" t="str">
        <f t="shared" si="77"/>
        <v/>
      </c>
    </row>
    <row r="788" spans="1:14" x14ac:dyDescent="0.2">
      <c r="A788" s="32"/>
      <c r="B788" s="27"/>
      <c r="C788" s="15" t="str">
        <f>IF(B788="","",IFERROR(INDEX(Items!$B$5:$B$19,MATCH(B788,Items!$A$5:$A$19,0)),"Unknown code"))</f>
        <v/>
      </c>
      <c r="D788" s="29"/>
      <c r="E788" s="18" t="str">
        <f>IF(B788="","",IFERROR(INDEX(Items!$C$5:$C$19,MATCH(B788,Items!$A$5:$A$19,0)),""))</f>
        <v/>
      </c>
      <c r="F788" s="18" t="str">
        <f t="shared" si="72"/>
        <v/>
      </c>
      <c r="G788" s="27"/>
      <c r="H788" s="23" t="str">
        <f>IF(OR(A788="",B788="",D788=""),"",IFERROR(INDEX(Items!$D$5:$D$19,MATCH(B788,Items!$A$5:$A$19,0))+SUMIFS(D$4:D787,B$4:B787,B788),""))</f>
        <v/>
      </c>
      <c r="I788" s="23" t="str">
        <f t="shared" si="73"/>
        <v/>
      </c>
      <c r="J788" s="23" t="str">
        <f t="shared" si="74"/>
        <v/>
      </c>
      <c r="K788" s="18" t="str">
        <f t="shared" si="75"/>
        <v/>
      </c>
      <c r="L788" s="16" t="str">
        <f t="shared" ca="1" si="76"/>
        <v/>
      </c>
      <c r="M788" s="25" t="str">
        <f>IF(H788="","",IF(I788&lt;=0,"Shipped",IF(L788&lt;=AGE30,"Fresh",IF(L788&lt;=AGE60,"Watch",IF(L788&lt;=AGE90,"Aging","Old")))))</f>
        <v/>
      </c>
      <c r="N788" s="16" t="str">
        <f t="shared" si="77"/>
        <v/>
      </c>
    </row>
    <row r="789" spans="1:14" x14ac:dyDescent="0.2">
      <c r="A789" s="32"/>
      <c r="B789" s="27"/>
      <c r="C789" s="15" t="str">
        <f>IF(B789="","",IFERROR(INDEX(Items!$B$5:$B$19,MATCH(B789,Items!$A$5:$A$19,0)),"Unknown code"))</f>
        <v/>
      </c>
      <c r="D789" s="29"/>
      <c r="E789" s="18" t="str">
        <f>IF(B789="","",IFERROR(INDEX(Items!$C$5:$C$19,MATCH(B789,Items!$A$5:$A$19,0)),""))</f>
        <v/>
      </c>
      <c r="F789" s="18" t="str">
        <f t="shared" si="72"/>
        <v/>
      </c>
      <c r="G789" s="27"/>
      <c r="H789" s="23" t="str">
        <f>IF(OR(A789="",B789="",D789=""),"",IFERROR(INDEX(Items!$D$5:$D$19,MATCH(B789,Items!$A$5:$A$19,0))+SUMIFS(D$4:D788,B$4:B788,B789),""))</f>
        <v/>
      </c>
      <c r="I789" s="23" t="str">
        <f t="shared" si="73"/>
        <v/>
      </c>
      <c r="J789" s="23" t="str">
        <f t="shared" si="74"/>
        <v/>
      </c>
      <c r="K789" s="18" t="str">
        <f t="shared" si="75"/>
        <v/>
      </c>
      <c r="L789" s="16" t="str">
        <f t="shared" ca="1" si="76"/>
        <v/>
      </c>
      <c r="M789" s="25" t="str">
        <f>IF(H789="","",IF(I789&lt;=0,"Shipped",IF(L789&lt;=AGE30,"Fresh",IF(L789&lt;=AGE60,"Watch",IF(L789&lt;=AGE90,"Aging","Old")))))</f>
        <v/>
      </c>
      <c r="N789" s="16" t="str">
        <f t="shared" si="77"/>
        <v/>
      </c>
    </row>
    <row r="790" spans="1:14" x14ac:dyDescent="0.2">
      <c r="A790" s="32"/>
      <c r="B790" s="27"/>
      <c r="C790" s="15" t="str">
        <f>IF(B790="","",IFERROR(INDEX(Items!$B$5:$B$19,MATCH(B790,Items!$A$5:$A$19,0)),"Unknown code"))</f>
        <v/>
      </c>
      <c r="D790" s="29"/>
      <c r="E790" s="18" t="str">
        <f>IF(B790="","",IFERROR(INDEX(Items!$C$5:$C$19,MATCH(B790,Items!$A$5:$A$19,0)),""))</f>
        <v/>
      </c>
      <c r="F790" s="18" t="str">
        <f t="shared" si="72"/>
        <v/>
      </c>
      <c r="G790" s="27"/>
      <c r="H790" s="23" t="str">
        <f>IF(OR(A790="",B790="",D790=""),"",IFERROR(INDEX(Items!$D$5:$D$19,MATCH(B790,Items!$A$5:$A$19,0))+SUMIFS(D$4:D789,B$4:B789,B790),""))</f>
        <v/>
      </c>
      <c r="I790" s="23" t="str">
        <f t="shared" si="73"/>
        <v/>
      </c>
      <c r="J790" s="23" t="str">
        <f t="shared" si="74"/>
        <v/>
      </c>
      <c r="K790" s="18" t="str">
        <f t="shared" si="75"/>
        <v/>
      </c>
      <c r="L790" s="16" t="str">
        <f t="shared" ca="1" si="76"/>
        <v/>
      </c>
      <c r="M790" s="25" t="str">
        <f>IF(H790="","",IF(I790&lt;=0,"Shipped",IF(L790&lt;=AGE30,"Fresh",IF(L790&lt;=AGE60,"Watch",IF(L790&lt;=AGE90,"Aging","Old")))))</f>
        <v/>
      </c>
      <c r="N790" s="16" t="str">
        <f t="shared" si="77"/>
        <v/>
      </c>
    </row>
    <row r="791" spans="1:14" x14ac:dyDescent="0.2">
      <c r="A791" s="32"/>
      <c r="B791" s="27"/>
      <c r="C791" s="15" t="str">
        <f>IF(B791="","",IFERROR(INDEX(Items!$B$5:$B$19,MATCH(B791,Items!$A$5:$A$19,0)),"Unknown code"))</f>
        <v/>
      </c>
      <c r="D791" s="29"/>
      <c r="E791" s="18" t="str">
        <f>IF(B791="","",IFERROR(INDEX(Items!$C$5:$C$19,MATCH(B791,Items!$A$5:$A$19,0)),""))</f>
        <v/>
      </c>
      <c r="F791" s="18" t="str">
        <f t="shared" si="72"/>
        <v/>
      </c>
      <c r="G791" s="27"/>
      <c r="H791" s="23" t="str">
        <f>IF(OR(A791="",B791="",D791=""),"",IFERROR(INDEX(Items!$D$5:$D$19,MATCH(B791,Items!$A$5:$A$19,0))+SUMIFS(D$4:D790,B$4:B790,B791),""))</f>
        <v/>
      </c>
      <c r="I791" s="23" t="str">
        <f t="shared" si="73"/>
        <v/>
      </c>
      <c r="J791" s="23" t="str">
        <f t="shared" si="74"/>
        <v/>
      </c>
      <c r="K791" s="18" t="str">
        <f t="shared" si="75"/>
        <v/>
      </c>
      <c r="L791" s="16" t="str">
        <f t="shared" ca="1" si="76"/>
        <v/>
      </c>
      <c r="M791" s="25" t="str">
        <f>IF(H791="","",IF(I791&lt;=0,"Shipped",IF(L791&lt;=AGE30,"Fresh",IF(L791&lt;=AGE60,"Watch",IF(L791&lt;=AGE90,"Aging","Old")))))</f>
        <v/>
      </c>
      <c r="N791" s="16" t="str">
        <f t="shared" si="77"/>
        <v/>
      </c>
    </row>
    <row r="792" spans="1:14" x14ac:dyDescent="0.2">
      <c r="A792" s="32"/>
      <c r="B792" s="27"/>
      <c r="C792" s="15" t="str">
        <f>IF(B792="","",IFERROR(INDEX(Items!$B$5:$B$19,MATCH(B792,Items!$A$5:$A$19,0)),"Unknown code"))</f>
        <v/>
      </c>
      <c r="D792" s="29"/>
      <c r="E792" s="18" t="str">
        <f>IF(B792="","",IFERROR(INDEX(Items!$C$5:$C$19,MATCH(B792,Items!$A$5:$A$19,0)),""))</f>
        <v/>
      </c>
      <c r="F792" s="18" t="str">
        <f t="shared" si="72"/>
        <v/>
      </c>
      <c r="G792" s="27"/>
      <c r="H792" s="23" t="str">
        <f>IF(OR(A792="",B792="",D792=""),"",IFERROR(INDEX(Items!$D$5:$D$19,MATCH(B792,Items!$A$5:$A$19,0))+SUMIFS(D$4:D791,B$4:B791,B792),""))</f>
        <v/>
      </c>
      <c r="I792" s="23" t="str">
        <f t="shared" si="73"/>
        <v/>
      </c>
      <c r="J792" s="23" t="str">
        <f t="shared" si="74"/>
        <v/>
      </c>
      <c r="K792" s="18" t="str">
        <f t="shared" si="75"/>
        <v/>
      </c>
      <c r="L792" s="16" t="str">
        <f t="shared" ca="1" si="76"/>
        <v/>
      </c>
      <c r="M792" s="25" t="str">
        <f>IF(H792="","",IF(I792&lt;=0,"Shipped",IF(L792&lt;=AGE30,"Fresh",IF(L792&lt;=AGE60,"Watch",IF(L792&lt;=AGE90,"Aging","Old")))))</f>
        <v/>
      </c>
      <c r="N792" s="16" t="str">
        <f t="shared" si="77"/>
        <v/>
      </c>
    </row>
    <row r="793" spans="1:14" x14ac:dyDescent="0.2">
      <c r="A793" s="32"/>
      <c r="B793" s="27"/>
      <c r="C793" s="15" t="str">
        <f>IF(B793="","",IFERROR(INDEX(Items!$B$5:$B$19,MATCH(B793,Items!$A$5:$A$19,0)),"Unknown code"))</f>
        <v/>
      </c>
      <c r="D793" s="29"/>
      <c r="E793" s="18" t="str">
        <f>IF(B793="","",IFERROR(INDEX(Items!$C$5:$C$19,MATCH(B793,Items!$A$5:$A$19,0)),""))</f>
        <v/>
      </c>
      <c r="F793" s="18" t="str">
        <f t="shared" si="72"/>
        <v/>
      </c>
      <c r="G793" s="27"/>
      <c r="H793" s="23" t="str">
        <f>IF(OR(A793="",B793="",D793=""),"",IFERROR(INDEX(Items!$D$5:$D$19,MATCH(B793,Items!$A$5:$A$19,0))+SUMIFS(D$4:D792,B$4:B792,B793),""))</f>
        <v/>
      </c>
      <c r="I793" s="23" t="str">
        <f t="shared" si="73"/>
        <v/>
      </c>
      <c r="J793" s="23" t="str">
        <f t="shared" si="74"/>
        <v/>
      </c>
      <c r="K793" s="18" t="str">
        <f t="shared" si="75"/>
        <v/>
      </c>
      <c r="L793" s="16" t="str">
        <f t="shared" ca="1" si="76"/>
        <v/>
      </c>
      <c r="M793" s="25" t="str">
        <f>IF(H793="","",IF(I793&lt;=0,"Shipped",IF(L793&lt;=AGE30,"Fresh",IF(L793&lt;=AGE60,"Watch",IF(L793&lt;=AGE90,"Aging","Old")))))</f>
        <v/>
      </c>
      <c r="N793" s="16" t="str">
        <f t="shared" si="77"/>
        <v/>
      </c>
    </row>
    <row r="794" spans="1:14" x14ac:dyDescent="0.2">
      <c r="A794" s="32"/>
      <c r="B794" s="27"/>
      <c r="C794" s="15" t="str">
        <f>IF(B794="","",IFERROR(INDEX(Items!$B$5:$B$19,MATCH(B794,Items!$A$5:$A$19,0)),"Unknown code"))</f>
        <v/>
      </c>
      <c r="D794" s="29"/>
      <c r="E794" s="18" t="str">
        <f>IF(B794="","",IFERROR(INDEX(Items!$C$5:$C$19,MATCH(B794,Items!$A$5:$A$19,0)),""))</f>
        <v/>
      </c>
      <c r="F794" s="18" t="str">
        <f t="shared" si="72"/>
        <v/>
      </c>
      <c r="G794" s="27"/>
      <c r="H794" s="23" t="str">
        <f>IF(OR(A794="",B794="",D794=""),"",IFERROR(INDEX(Items!$D$5:$D$19,MATCH(B794,Items!$A$5:$A$19,0))+SUMIFS(D$4:D793,B$4:B793,B794),""))</f>
        <v/>
      </c>
      <c r="I794" s="23" t="str">
        <f t="shared" si="73"/>
        <v/>
      </c>
      <c r="J794" s="23" t="str">
        <f t="shared" si="74"/>
        <v/>
      </c>
      <c r="K794" s="18" t="str">
        <f t="shared" si="75"/>
        <v/>
      </c>
      <c r="L794" s="16" t="str">
        <f t="shared" ca="1" si="76"/>
        <v/>
      </c>
      <c r="M794" s="25" t="str">
        <f>IF(H794="","",IF(I794&lt;=0,"Shipped",IF(L794&lt;=AGE30,"Fresh",IF(L794&lt;=AGE60,"Watch",IF(L794&lt;=AGE90,"Aging","Old")))))</f>
        <v/>
      </c>
      <c r="N794" s="16" t="str">
        <f t="shared" si="77"/>
        <v/>
      </c>
    </row>
    <row r="795" spans="1:14" x14ac:dyDescent="0.2">
      <c r="A795" s="32"/>
      <c r="B795" s="27"/>
      <c r="C795" s="15" t="str">
        <f>IF(B795="","",IFERROR(INDEX(Items!$B$5:$B$19,MATCH(B795,Items!$A$5:$A$19,0)),"Unknown code"))</f>
        <v/>
      </c>
      <c r="D795" s="29"/>
      <c r="E795" s="18" t="str">
        <f>IF(B795="","",IFERROR(INDEX(Items!$C$5:$C$19,MATCH(B795,Items!$A$5:$A$19,0)),""))</f>
        <v/>
      </c>
      <c r="F795" s="18" t="str">
        <f t="shared" si="72"/>
        <v/>
      </c>
      <c r="G795" s="27"/>
      <c r="H795" s="23" t="str">
        <f>IF(OR(A795="",B795="",D795=""),"",IFERROR(INDEX(Items!$D$5:$D$19,MATCH(B795,Items!$A$5:$A$19,0))+SUMIFS(D$4:D794,B$4:B794,B795),""))</f>
        <v/>
      </c>
      <c r="I795" s="23" t="str">
        <f t="shared" si="73"/>
        <v/>
      </c>
      <c r="J795" s="23" t="str">
        <f t="shared" si="74"/>
        <v/>
      </c>
      <c r="K795" s="18" t="str">
        <f t="shared" si="75"/>
        <v/>
      </c>
      <c r="L795" s="16" t="str">
        <f t="shared" ca="1" si="76"/>
        <v/>
      </c>
      <c r="M795" s="25" t="str">
        <f>IF(H795="","",IF(I795&lt;=0,"Shipped",IF(L795&lt;=AGE30,"Fresh",IF(L795&lt;=AGE60,"Watch",IF(L795&lt;=AGE90,"Aging","Old")))))</f>
        <v/>
      </c>
      <c r="N795" s="16" t="str">
        <f t="shared" si="77"/>
        <v/>
      </c>
    </row>
    <row r="796" spans="1:14" x14ac:dyDescent="0.2">
      <c r="A796" s="32"/>
      <c r="B796" s="27"/>
      <c r="C796" s="15" t="str">
        <f>IF(B796="","",IFERROR(INDEX(Items!$B$5:$B$19,MATCH(B796,Items!$A$5:$A$19,0)),"Unknown code"))</f>
        <v/>
      </c>
      <c r="D796" s="29"/>
      <c r="E796" s="18" t="str">
        <f>IF(B796="","",IFERROR(INDEX(Items!$C$5:$C$19,MATCH(B796,Items!$A$5:$A$19,0)),""))</f>
        <v/>
      </c>
      <c r="F796" s="18" t="str">
        <f t="shared" si="72"/>
        <v/>
      </c>
      <c r="G796" s="27"/>
      <c r="H796" s="23" t="str">
        <f>IF(OR(A796="",B796="",D796=""),"",IFERROR(INDEX(Items!$D$5:$D$19,MATCH(B796,Items!$A$5:$A$19,0))+SUMIFS(D$4:D795,B$4:B795,B796),""))</f>
        <v/>
      </c>
      <c r="I796" s="23" t="str">
        <f t="shared" si="73"/>
        <v/>
      </c>
      <c r="J796" s="23" t="str">
        <f t="shared" si="74"/>
        <v/>
      </c>
      <c r="K796" s="18" t="str">
        <f t="shared" si="75"/>
        <v/>
      </c>
      <c r="L796" s="16" t="str">
        <f t="shared" ca="1" si="76"/>
        <v/>
      </c>
      <c r="M796" s="25" t="str">
        <f>IF(H796="","",IF(I796&lt;=0,"Shipped",IF(L796&lt;=AGE30,"Fresh",IF(L796&lt;=AGE60,"Watch",IF(L796&lt;=AGE90,"Aging","Old")))))</f>
        <v/>
      </c>
      <c r="N796" s="16" t="str">
        <f t="shared" si="77"/>
        <v/>
      </c>
    </row>
    <row r="797" spans="1:14" x14ac:dyDescent="0.2">
      <c r="A797" s="32"/>
      <c r="B797" s="27"/>
      <c r="C797" s="15" t="str">
        <f>IF(B797="","",IFERROR(INDEX(Items!$B$5:$B$19,MATCH(B797,Items!$A$5:$A$19,0)),"Unknown code"))</f>
        <v/>
      </c>
      <c r="D797" s="29"/>
      <c r="E797" s="18" t="str">
        <f>IF(B797="","",IFERROR(INDEX(Items!$C$5:$C$19,MATCH(B797,Items!$A$5:$A$19,0)),""))</f>
        <v/>
      </c>
      <c r="F797" s="18" t="str">
        <f t="shared" si="72"/>
        <v/>
      </c>
      <c r="G797" s="27"/>
      <c r="H797" s="23" t="str">
        <f>IF(OR(A797="",B797="",D797=""),"",IFERROR(INDEX(Items!$D$5:$D$19,MATCH(B797,Items!$A$5:$A$19,0))+SUMIFS(D$4:D796,B$4:B796,B797),""))</f>
        <v/>
      </c>
      <c r="I797" s="23" t="str">
        <f t="shared" si="73"/>
        <v/>
      </c>
      <c r="J797" s="23" t="str">
        <f t="shared" si="74"/>
        <v/>
      </c>
      <c r="K797" s="18" t="str">
        <f t="shared" si="75"/>
        <v/>
      </c>
      <c r="L797" s="16" t="str">
        <f t="shared" ca="1" si="76"/>
        <v/>
      </c>
      <c r="M797" s="25" t="str">
        <f>IF(H797="","",IF(I797&lt;=0,"Shipped",IF(L797&lt;=AGE30,"Fresh",IF(L797&lt;=AGE60,"Watch",IF(L797&lt;=AGE90,"Aging","Old")))))</f>
        <v/>
      </c>
      <c r="N797" s="16" t="str">
        <f t="shared" si="77"/>
        <v/>
      </c>
    </row>
    <row r="798" spans="1:14" x14ac:dyDescent="0.2">
      <c r="A798" s="32"/>
      <c r="B798" s="27"/>
      <c r="C798" s="15" t="str">
        <f>IF(B798="","",IFERROR(INDEX(Items!$B$5:$B$19,MATCH(B798,Items!$A$5:$A$19,0)),"Unknown code"))</f>
        <v/>
      </c>
      <c r="D798" s="29"/>
      <c r="E798" s="18" t="str">
        <f>IF(B798="","",IFERROR(INDEX(Items!$C$5:$C$19,MATCH(B798,Items!$A$5:$A$19,0)),""))</f>
        <v/>
      </c>
      <c r="F798" s="18" t="str">
        <f t="shared" si="72"/>
        <v/>
      </c>
      <c r="G798" s="27"/>
      <c r="H798" s="23" t="str">
        <f>IF(OR(A798="",B798="",D798=""),"",IFERROR(INDEX(Items!$D$5:$D$19,MATCH(B798,Items!$A$5:$A$19,0))+SUMIFS(D$4:D797,B$4:B797,B798),""))</f>
        <v/>
      </c>
      <c r="I798" s="23" t="str">
        <f t="shared" si="73"/>
        <v/>
      </c>
      <c r="J798" s="23" t="str">
        <f t="shared" si="74"/>
        <v/>
      </c>
      <c r="K798" s="18" t="str">
        <f t="shared" si="75"/>
        <v/>
      </c>
      <c r="L798" s="16" t="str">
        <f t="shared" ca="1" si="76"/>
        <v/>
      </c>
      <c r="M798" s="25" t="str">
        <f>IF(H798="","",IF(I798&lt;=0,"Shipped",IF(L798&lt;=AGE30,"Fresh",IF(L798&lt;=AGE60,"Watch",IF(L798&lt;=AGE90,"Aging","Old")))))</f>
        <v/>
      </c>
      <c r="N798" s="16" t="str">
        <f t="shared" si="77"/>
        <v/>
      </c>
    </row>
    <row r="799" spans="1:14" x14ac:dyDescent="0.2">
      <c r="A799" s="32"/>
      <c r="B799" s="27"/>
      <c r="C799" s="15" t="str">
        <f>IF(B799="","",IFERROR(INDEX(Items!$B$5:$B$19,MATCH(B799,Items!$A$5:$A$19,0)),"Unknown code"))</f>
        <v/>
      </c>
      <c r="D799" s="29"/>
      <c r="E799" s="18" t="str">
        <f>IF(B799="","",IFERROR(INDEX(Items!$C$5:$C$19,MATCH(B799,Items!$A$5:$A$19,0)),""))</f>
        <v/>
      </c>
      <c r="F799" s="18" t="str">
        <f t="shared" si="72"/>
        <v/>
      </c>
      <c r="G799" s="27"/>
      <c r="H799" s="23" t="str">
        <f>IF(OR(A799="",B799="",D799=""),"",IFERROR(INDEX(Items!$D$5:$D$19,MATCH(B799,Items!$A$5:$A$19,0))+SUMIFS(D$4:D798,B$4:B798,B799),""))</f>
        <v/>
      </c>
      <c r="I799" s="23" t="str">
        <f t="shared" si="73"/>
        <v/>
      </c>
      <c r="J799" s="23" t="str">
        <f t="shared" si="74"/>
        <v/>
      </c>
      <c r="K799" s="18" t="str">
        <f t="shared" si="75"/>
        <v/>
      </c>
      <c r="L799" s="16" t="str">
        <f t="shared" ca="1" si="76"/>
        <v/>
      </c>
      <c r="M799" s="25" t="str">
        <f>IF(H799="","",IF(I799&lt;=0,"Shipped",IF(L799&lt;=AGE30,"Fresh",IF(L799&lt;=AGE60,"Watch",IF(L799&lt;=AGE90,"Aging","Old")))))</f>
        <v/>
      </c>
      <c r="N799" s="16" t="str">
        <f t="shared" si="77"/>
        <v/>
      </c>
    </row>
    <row r="800" spans="1:14" x14ac:dyDescent="0.2">
      <c r="A800" s="32"/>
      <c r="B800" s="27"/>
      <c r="C800" s="15" t="str">
        <f>IF(B800="","",IFERROR(INDEX(Items!$B$5:$B$19,MATCH(B800,Items!$A$5:$A$19,0)),"Unknown code"))</f>
        <v/>
      </c>
      <c r="D800" s="29"/>
      <c r="E800" s="18" t="str">
        <f>IF(B800="","",IFERROR(INDEX(Items!$C$5:$C$19,MATCH(B800,Items!$A$5:$A$19,0)),""))</f>
        <v/>
      </c>
      <c r="F800" s="18" t="str">
        <f t="shared" si="72"/>
        <v/>
      </c>
      <c r="G800" s="27"/>
      <c r="H800" s="23" t="str">
        <f>IF(OR(A800="",B800="",D800=""),"",IFERROR(INDEX(Items!$D$5:$D$19,MATCH(B800,Items!$A$5:$A$19,0))+SUMIFS(D$4:D799,B$4:B799,B800),""))</f>
        <v/>
      </c>
      <c r="I800" s="23" t="str">
        <f t="shared" si="73"/>
        <v/>
      </c>
      <c r="J800" s="23" t="str">
        <f t="shared" si="74"/>
        <v/>
      </c>
      <c r="K800" s="18" t="str">
        <f t="shared" si="75"/>
        <v/>
      </c>
      <c r="L800" s="16" t="str">
        <f t="shared" ca="1" si="76"/>
        <v/>
      </c>
      <c r="M800" s="25" t="str">
        <f>IF(H800="","",IF(I800&lt;=0,"Shipped",IF(L800&lt;=AGE30,"Fresh",IF(L800&lt;=AGE60,"Watch",IF(L800&lt;=AGE90,"Aging","Old")))))</f>
        <v/>
      </c>
      <c r="N800" s="16" t="str">
        <f t="shared" si="77"/>
        <v/>
      </c>
    </row>
    <row r="801" spans="1:14" x14ac:dyDescent="0.2">
      <c r="A801" s="32"/>
      <c r="B801" s="27"/>
      <c r="C801" s="15" t="str">
        <f>IF(B801="","",IFERROR(INDEX(Items!$B$5:$B$19,MATCH(B801,Items!$A$5:$A$19,0)),"Unknown code"))</f>
        <v/>
      </c>
      <c r="D801" s="29"/>
      <c r="E801" s="18" t="str">
        <f>IF(B801="","",IFERROR(INDEX(Items!$C$5:$C$19,MATCH(B801,Items!$A$5:$A$19,0)),""))</f>
        <v/>
      </c>
      <c r="F801" s="18" t="str">
        <f t="shared" si="72"/>
        <v/>
      </c>
      <c r="G801" s="27"/>
      <c r="H801" s="23" t="str">
        <f>IF(OR(A801="",B801="",D801=""),"",IFERROR(INDEX(Items!$D$5:$D$19,MATCH(B801,Items!$A$5:$A$19,0))+SUMIFS(D$4:D800,B$4:B800,B801),""))</f>
        <v/>
      </c>
      <c r="I801" s="23" t="str">
        <f t="shared" si="73"/>
        <v/>
      </c>
      <c r="J801" s="23" t="str">
        <f t="shared" si="74"/>
        <v/>
      </c>
      <c r="K801" s="18" t="str">
        <f t="shared" si="75"/>
        <v/>
      </c>
      <c r="L801" s="16" t="str">
        <f t="shared" ca="1" si="76"/>
        <v/>
      </c>
      <c r="M801" s="25" t="str">
        <f>IF(H801="","",IF(I801&lt;=0,"Shipped",IF(L801&lt;=AGE30,"Fresh",IF(L801&lt;=AGE60,"Watch",IF(L801&lt;=AGE90,"Aging","Old")))))</f>
        <v/>
      </c>
      <c r="N801" s="16" t="str">
        <f t="shared" si="77"/>
        <v/>
      </c>
    </row>
    <row r="802" spans="1:14" x14ac:dyDescent="0.2">
      <c r="A802" s="32"/>
      <c r="B802" s="27"/>
      <c r="C802" s="15" t="str">
        <f>IF(B802="","",IFERROR(INDEX(Items!$B$5:$B$19,MATCH(B802,Items!$A$5:$A$19,0)),"Unknown code"))</f>
        <v/>
      </c>
      <c r="D802" s="29"/>
      <c r="E802" s="18" t="str">
        <f>IF(B802="","",IFERROR(INDEX(Items!$C$5:$C$19,MATCH(B802,Items!$A$5:$A$19,0)),""))</f>
        <v/>
      </c>
      <c r="F802" s="18" t="str">
        <f t="shared" si="72"/>
        <v/>
      </c>
      <c r="G802" s="27"/>
      <c r="H802" s="23" t="str">
        <f>IF(OR(A802="",B802="",D802=""),"",IFERROR(INDEX(Items!$D$5:$D$19,MATCH(B802,Items!$A$5:$A$19,0))+SUMIFS(D$4:D801,B$4:B801,B802),""))</f>
        <v/>
      </c>
      <c r="I802" s="23" t="str">
        <f t="shared" si="73"/>
        <v/>
      </c>
      <c r="J802" s="23" t="str">
        <f t="shared" si="74"/>
        <v/>
      </c>
      <c r="K802" s="18" t="str">
        <f t="shared" si="75"/>
        <v/>
      </c>
      <c r="L802" s="16" t="str">
        <f t="shared" ca="1" si="76"/>
        <v/>
      </c>
      <c r="M802" s="25" t="str">
        <f>IF(H802="","",IF(I802&lt;=0,"Shipped",IF(L802&lt;=AGE30,"Fresh",IF(L802&lt;=AGE60,"Watch",IF(L802&lt;=AGE90,"Aging","Old")))))</f>
        <v/>
      </c>
      <c r="N802" s="16" t="str">
        <f t="shared" si="77"/>
        <v/>
      </c>
    </row>
    <row r="803" spans="1:14" x14ac:dyDescent="0.2">
      <c r="A803" s="32"/>
      <c r="B803" s="27"/>
      <c r="C803" s="15" t="str">
        <f>IF(B803="","",IFERROR(INDEX(Items!$B$5:$B$19,MATCH(B803,Items!$A$5:$A$19,0)),"Unknown code"))</f>
        <v/>
      </c>
      <c r="D803" s="29"/>
      <c r="E803" s="18" t="str">
        <f>IF(B803="","",IFERROR(INDEX(Items!$C$5:$C$19,MATCH(B803,Items!$A$5:$A$19,0)),""))</f>
        <v/>
      </c>
      <c r="F803" s="18" t="str">
        <f t="shared" si="72"/>
        <v/>
      </c>
      <c r="G803" s="27"/>
      <c r="H803" s="23" t="str">
        <f>IF(OR(A803="",B803="",D803=""),"",IFERROR(INDEX(Items!$D$5:$D$19,MATCH(B803,Items!$A$5:$A$19,0))+SUMIFS(D$4:D802,B$4:B802,B803),""))</f>
        <v/>
      </c>
      <c r="I803" s="23" t="str">
        <f t="shared" si="73"/>
        <v/>
      </c>
      <c r="J803" s="23" t="str">
        <f t="shared" si="74"/>
        <v/>
      </c>
      <c r="K803" s="18" t="str">
        <f t="shared" si="75"/>
        <v/>
      </c>
      <c r="L803" s="16" t="str">
        <f t="shared" ca="1" si="76"/>
        <v/>
      </c>
      <c r="M803" s="25" t="str">
        <f>IF(H803="","",IF(I803&lt;=0,"Shipped",IF(L803&lt;=AGE30,"Fresh",IF(L803&lt;=AGE60,"Watch",IF(L803&lt;=AGE90,"Aging","Old")))))</f>
        <v/>
      </c>
      <c r="N803" s="16" t="str">
        <f t="shared" si="77"/>
        <v/>
      </c>
    </row>
    <row r="804" spans="1:14" x14ac:dyDescent="0.2">
      <c r="A804" s="32"/>
      <c r="B804" s="27"/>
      <c r="C804" s="15" t="str">
        <f>IF(B804="","",IFERROR(INDEX(Items!$B$5:$B$19,MATCH(B804,Items!$A$5:$A$19,0)),"Unknown code"))</f>
        <v/>
      </c>
      <c r="D804" s="29"/>
      <c r="E804" s="18" t="str">
        <f>IF(B804="","",IFERROR(INDEX(Items!$C$5:$C$19,MATCH(B804,Items!$A$5:$A$19,0)),""))</f>
        <v/>
      </c>
      <c r="F804" s="18" t="str">
        <f t="shared" si="72"/>
        <v/>
      </c>
      <c r="G804" s="27"/>
      <c r="H804" s="23" t="str">
        <f>IF(OR(A804="",B804="",D804=""),"",IFERROR(INDEX(Items!$D$5:$D$19,MATCH(B804,Items!$A$5:$A$19,0))+SUMIFS(D$4:D803,B$4:B803,B804),""))</f>
        <v/>
      </c>
      <c r="I804" s="23" t="str">
        <f t="shared" si="73"/>
        <v/>
      </c>
      <c r="J804" s="23" t="str">
        <f t="shared" si="74"/>
        <v/>
      </c>
      <c r="K804" s="18" t="str">
        <f t="shared" si="75"/>
        <v/>
      </c>
      <c r="L804" s="16" t="str">
        <f t="shared" ca="1" si="76"/>
        <v/>
      </c>
      <c r="M804" s="25" t="str">
        <f>IF(H804="","",IF(I804&lt;=0,"Shipped",IF(L804&lt;=AGE30,"Fresh",IF(L804&lt;=AGE60,"Watch",IF(L804&lt;=AGE90,"Aging","Old")))))</f>
        <v/>
      </c>
      <c r="N804" s="16" t="str">
        <f t="shared" si="77"/>
        <v/>
      </c>
    </row>
    <row r="805" spans="1:14" x14ac:dyDescent="0.2">
      <c r="A805" s="32"/>
      <c r="B805" s="27"/>
      <c r="C805" s="15" t="str">
        <f>IF(B805="","",IFERROR(INDEX(Items!$B$5:$B$19,MATCH(B805,Items!$A$5:$A$19,0)),"Unknown code"))</f>
        <v/>
      </c>
      <c r="D805" s="29"/>
      <c r="E805" s="18" t="str">
        <f>IF(B805="","",IFERROR(INDEX(Items!$C$5:$C$19,MATCH(B805,Items!$A$5:$A$19,0)),""))</f>
        <v/>
      </c>
      <c r="F805" s="18" t="str">
        <f t="shared" si="72"/>
        <v/>
      </c>
      <c r="G805" s="27"/>
      <c r="H805" s="23" t="str">
        <f>IF(OR(A805="",B805="",D805=""),"",IFERROR(INDEX(Items!$D$5:$D$19,MATCH(B805,Items!$A$5:$A$19,0))+SUMIFS(D$4:D804,B$4:B804,B805),""))</f>
        <v/>
      </c>
      <c r="I805" s="23" t="str">
        <f t="shared" si="73"/>
        <v/>
      </c>
      <c r="J805" s="23" t="str">
        <f t="shared" si="74"/>
        <v/>
      </c>
      <c r="K805" s="18" t="str">
        <f t="shared" si="75"/>
        <v/>
      </c>
      <c r="L805" s="16" t="str">
        <f t="shared" ca="1" si="76"/>
        <v/>
      </c>
      <c r="M805" s="25" t="str">
        <f>IF(H805="","",IF(I805&lt;=0,"Shipped",IF(L805&lt;=AGE30,"Fresh",IF(L805&lt;=AGE60,"Watch",IF(L805&lt;=AGE90,"Aging","Old")))))</f>
        <v/>
      </c>
      <c r="N805" s="16" t="str">
        <f t="shared" si="77"/>
        <v/>
      </c>
    </row>
    <row r="806" spans="1:14" x14ac:dyDescent="0.2">
      <c r="A806" s="32"/>
      <c r="B806" s="27"/>
      <c r="C806" s="15" t="str">
        <f>IF(B806="","",IFERROR(INDEX(Items!$B$5:$B$19,MATCH(B806,Items!$A$5:$A$19,0)),"Unknown code"))</f>
        <v/>
      </c>
      <c r="D806" s="29"/>
      <c r="E806" s="18" t="str">
        <f>IF(B806="","",IFERROR(INDEX(Items!$C$5:$C$19,MATCH(B806,Items!$A$5:$A$19,0)),""))</f>
        <v/>
      </c>
      <c r="F806" s="18" t="str">
        <f t="shared" si="72"/>
        <v/>
      </c>
      <c r="G806" s="27"/>
      <c r="H806" s="23" t="str">
        <f>IF(OR(A806="",B806="",D806=""),"",IFERROR(INDEX(Items!$D$5:$D$19,MATCH(B806,Items!$A$5:$A$19,0))+SUMIFS(D$4:D805,B$4:B805,B806),""))</f>
        <v/>
      </c>
      <c r="I806" s="23" t="str">
        <f t="shared" si="73"/>
        <v/>
      </c>
      <c r="J806" s="23" t="str">
        <f t="shared" si="74"/>
        <v/>
      </c>
      <c r="K806" s="18" t="str">
        <f t="shared" si="75"/>
        <v/>
      </c>
      <c r="L806" s="16" t="str">
        <f t="shared" ca="1" si="76"/>
        <v/>
      </c>
      <c r="M806" s="25" t="str">
        <f>IF(H806="","",IF(I806&lt;=0,"Shipped",IF(L806&lt;=AGE30,"Fresh",IF(L806&lt;=AGE60,"Watch",IF(L806&lt;=AGE90,"Aging","Old")))))</f>
        <v/>
      </c>
      <c r="N806" s="16" t="str">
        <f t="shared" si="77"/>
        <v/>
      </c>
    </row>
    <row r="807" spans="1:14" x14ac:dyDescent="0.2">
      <c r="A807" s="32"/>
      <c r="B807" s="27"/>
      <c r="C807" s="15" t="str">
        <f>IF(B807="","",IFERROR(INDEX(Items!$B$5:$B$19,MATCH(B807,Items!$A$5:$A$19,0)),"Unknown code"))</f>
        <v/>
      </c>
      <c r="D807" s="29"/>
      <c r="E807" s="18" t="str">
        <f>IF(B807="","",IFERROR(INDEX(Items!$C$5:$C$19,MATCH(B807,Items!$A$5:$A$19,0)),""))</f>
        <v/>
      </c>
      <c r="F807" s="18" t="str">
        <f t="shared" si="72"/>
        <v/>
      </c>
      <c r="G807" s="27"/>
      <c r="H807" s="23" t="str">
        <f>IF(OR(A807="",B807="",D807=""),"",IFERROR(INDEX(Items!$D$5:$D$19,MATCH(B807,Items!$A$5:$A$19,0))+SUMIFS(D$4:D806,B$4:B806,B807),""))</f>
        <v/>
      </c>
      <c r="I807" s="23" t="str">
        <f t="shared" si="73"/>
        <v/>
      </c>
      <c r="J807" s="23" t="str">
        <f t="shared" si="74"/>
        <v/>
      </c>
      <c r="K807" s="18" t="str">
        <f t="shared" si="75"/>
        <v/>
      </c>
      <c r="L807" s="16" t="str">
        <f t="shared" ca="1" si="76"/>
        <v/>
      </c>
      <c r="M807" s="25" t="str">
        <f>IF(H807="","",IF(I807&lt;=0,"Shipped",IF(L807&lt;=AGE30,"Fresh",IF(L807&lt;=AGE60,"Watch",IF(L807&lt;=AGE90,"Aging","Old")))))</f>
        <v/>
      </c>
      <c r="N807" s="16" t="str">
        <f t="shared" si="77"/>
        <v/>
      </c>
    </row>
    <row r="808" spans="1:14" x14ac:dyDescent="0.2">
      <c r="A808" s="32"/>
      <c r="B808" s="27"/>
      <c r="C808" s="15" t="str">
        <f>IF(B808="","",IFERROR(INDEX(Items!$B$5:$B$19,MATCH(B808,Items!$A$5:$A$19,0)),"Unknown code"))</f>
        <v/>
      </c>
      <c r="D808" s="29"/>
      <c r="E808" s="18" t="str">
        <f>IF(B808="","",IFERROR(INDEX(Items!$C$5:$C$19,MATCH(B808,Items!$A$5:$A$19,0)),""))</f>
        <v/>
      </c>
      <c r="F808" s="18" t="str">
        <f t="shared" si="72"/>
        <v/>
      </c>
      <c r="G808" s="27"/>
      <c r="H808" s="23" t="str">
        <f>IF(OR(A808="",B808="",D808=""),"",IFERROR(INDEX(Items!$D$5:$D$19,MATCH(B808,Items!$A$5:$A$19,0))+SUMIFS(D$4:D807,B$4:B807,B808),""))</f>
        <v/>
      </c>
      <c r="I808" s="23" t="str">
        <f t="shared" si="73"/>
        <v/>
      </c>
      <c r="J808" s="23" t="str">
        <f t="shared" si="74"/>
        <v/>
      </c>
      <c r="K808" s="18" t="str">
        <f t="shared" si="75"/>
        <v/>
      </c>
      <c r="L808" s="16" t="str">
        <f t="shared" ca="1" si="76"/>
        <v/>
      </c>
      <c r="M808" s="25" t="str">
        <f>IF(H808="","",IF(I808&lt;=0,"Shipped",IF(L808&lt;=AGE30,"Fresh",IF(L808&lt;=AGE60,"Watch",IF(L808&lt;=AGE90,"Aging","Old")))))</f>
        <v/>
      </c>
      <c r="N808" s="16" t="str">
        <f t="shared" si="77"/>
        <v/>
      </c>
    </row>
    <row r="809" spans="1:14" x14ac:dyDescent="0.2">
      <c r="A809" s="32"/>
      <c r="B809" s="27"/>
      <c r="C809" s="15" t="str">
        <f>IF(B809="","",IFERROR(INDEX(Items!$B$5:$B$19,MATCH(B809,Items!$A$5:$A$19,0)),"Unknown code"))</f>
        <v/>
      </c>
      <c r="D809" s="29"/>
      <c r="E809" s="18" t="str">
        <f>IF(B809="","",IFERROR(INDEX(Items!$C$5:$C$19,MATCH(B809,Items!$A$5:$A$19,0)),""))</f>
        <v/>
      </c>
      <c r="F809" s="18" t="str">
        <f t="shared" si="72"/>
        <v/>
      </c>
      <c r="G809" s="27"/>
      <c r="H809" s="23" t="str">
        <f>IF(OR(A809="",B809="",D809=""),"",IFERROR(INDEX(Items!$D$5:$D$19,MATCH(B809,Items!$A$5:$A$19,0))+SUMIFS(D$4:D808,B$4:B808,B809),""))</f>
        <v/>
      </c>
      <c r="I809" s="23" t="str">
        <f t="shared" si="73"/>
        <v/>
      </c>
      <c r="J809" s="23" t="str">
        <f t="shared" si="74"/>
        <v/>
      </c>
      <c r="K809" s="18" t="str">
        <f t="shared" si="75"/>
        <v/>
      </c>
      <c r="L809" s="16" t="str">
        <f t="shared" ca="1" si="76"/>
        <v/>
      </c>
      <c r="M809" s="25" t="str">
        <f>IF(H809="","",IF(I809&lt;=0,"Shipped",IF(L809&lt;=AGE30,"Fresh",IF(L809&lt;=AGE60,"Watch",IF(L809&lt;=AGE90,"Aging","Old")))))</f>
        <v/>
      </c>
      <c r="N809" s="16" t="str">
        <f t="shared" si="77"/>
        <v/>
      </c>
    </row>
    <row r="810" spans="1:14" x14ac:dyDescent="0.2">
      <c r="A810" s="32"/>
      <c r="B810" s="27"/>
      <c r="C810" s="15" t="str">
        <f>IF(B810="","",IFERROR(INDEX(Items!$B$5:$B$19,MATCH(B810,Items!$A$5:$A$19,0)),"Unknown code"))</f>
        <v/>
      </c>
      <c r="D810" s="29"/>
      <c r="E810" s="18" t="str">
        <f>IF(B810="","",IFERROR(INDEX(Items!$C$5:$C$19,MATCH(B810,Items!$A$5:$A$19,0)),""))</f>
        <v/>
      </c>
      <c r="F810" s="18" t="str">
        <f t="shared" si="72"/>
        <v/>
      </c>
      <c r="G810" s="27"/>
      <c r="H810" s="23" t="str">
        <f>IF(OR(A810="",B810="",D810=""),"",IFERROR(INDEX(Items!$D$5:$D$19,MATCH(B810,Items!$A$5:$A$19,0))+SUMIFS(D$4:D809,B$4:B809,B810),""))</f>
        <v/>
      </c>
      <c r="I810" s="23" t="str">
        <f t="shared" si="73"/>
        <v/>
      </c>
      <c r="J810" s="23" t="str">
        <f t="shared" si="74"/>
        <v/>
      </c>
      <c r="K810" s="18" t="str">
        <f t="shared" si="75"/>
        <v/>
      </c>
      <c r="L810" s="16" t="str">
        <f t="shared" ca="1" si="76"/>
        <v/>
      </c>
      <c r="M810" s="25" t="str">
        <f>IF(H810="","",IF(I810&lt;=0,"Shipped",IF(L810&lt;=AGE30,"Fresh",IF(L810&lt;=AGE60,"Watch",IF(L810&lt;=AGE90,"Aging","Old")))))</f>
        <v/>
      </c>
      <c r="N810" s="16" t="str">
        <f t="shared" si="77"/>
        <v/>
      </c>
    </row>
    <row r="811" spans="1:14" x14ac:dyDescent="0.2">
      <c r="A811" s="32"/>
      <c r="B811" s="27"/>
      <c r="C811" s="15" t="str">
        <f>IF(B811="","",IFERROR(INDEX(Items!$B$5:$B$19,MATCH(B811,Items!$A$5:$A$19,0)),"Unknown code"))</f>
        <v/>
      </c>
      <c r="D811" s="29"/>
      <c r="E811" s="18" t="str">
        <f>IF(B811="","",IFERROR(INDEX(Items!$C$5:$C$19,MATCH(B811,Items!$A$5:$A$19,0)),""))</f>
        <v/>
      </c>
      <c r="F811" s="18" t="str">
        <f t="shared" si="72"/>
        <v/>
      </c>
      <c r="G811" s="27"/>
      <c r="H811" s="23" t="str">
        <f>IF(OR(A811="",B811="",D811=""),"",IFERROR(INDEX(Items!$D$5:$D$19,MATCH(B811,Items!$A$5:$A$19,0))+SUMIFS(D$4:D810,B$4:B810,B811),""))</f>
        <v/>
      </c>
      <c r="I811" s="23" t="str">
        <f t="shared" si="73"/>
        <v/>
      </c>
      <c r="J811" s="23" t="str">
        <f t="shared" si="74"/>
        <v/>
      </c>
      <c r="K811" s="18" t="str">
        <f t="shared" si="75"/>
        <v/>
      </c>
      <c r="L811" s="16" t="str">
        <f t="shared" ca="1" si="76"/>
        <v/>
      </c>
      <c r="M811" s="25" t="str">
        <f>IF(H811="","",IF(I811&lt;=0,"Shipped",IF(L811&lt;=AGE30,"Fresh",IF(L811&lt;=AGE60,"Watch",IF(L811&lt;=AGE90,"Aging","Old")))))</f>
        <v/>
      </c>
      <c r="N811" s="16" t="str">
        <f t="shared" si="77"/>
        <v/>
      </c>
    </row>
    <row r="812" spans="1:14" x14ac:dyDescent="0.2">
      <c r="A812" s="32"/>
      <c r="B812" s="27"/>
      <c r="C812" s="15" t="str">
        <f>IF(B812="","",IFERROR(INDEX(Items!$B$5:$B$19,MATCH(B812,Items!$A$5:$A$19,0)),"Unknown code"))</f>
        <v/>
      </c>
      <c r="D812" s="29"/>
      <c r="E812" s="18" t="str">
        <f>IF(B812="","",IFERROR(INDEX(Items!$C$5:$C$19,MATCH(B812,Items!$A$5:$A$19,0)),""))</f>
        <v/>
      </c>
      <c r="F812" s="18" t="str">
        <f t="shared" si="72"/>
        <v/>
      </c>
      <c r="G812" s="27"/>
      <c r="H812" s="23" t="str">
        <f>IF(OR(A812="",B812="",D812=""),"",IFERROR(INDEX(Items!$D$5:$D$19,MATCH(B812,Items!$A$5:$A$19,0))+SUMIFS(D$4:D811,B$4:B811,B812),""))</f>
        <v/>
      </c>
      <c r="I812" s="23" t="str">
        <f t="shared" si="73"/>
        <v/>
      </c>
      <c r="J812" s="23" t="str">
        <f t="shared" si="74"/>
        <v/>
      </c>
      <c r="K812" s="18" t="str">
        <f t="shared" si="75"/>
        <v/>
      </c>
      <c r="L812" s="16" t="str">
        <f t="shared" ca="1" si="76"/>
        <v/>
      </c>
      <c r="M812" s="25" t="str">
        <f>IF(H812="","",IF(I812&lt;=0,"Shipped",IF(L812&lt;=AGE30,"Fresh",IF(L812&lt;=AGE60,"Watch",IF(L812&lt;=AGE90,"Aging","Old")))))</f>
        <v/>
      </c>
      <c r="N812" s="16" t="str">
        <f t="shared" si="77"/>
        <v/>
      </c>
    </row>
    <row r="813" spans="1:14" x14ac:dyDescent="0.2">
      <c r="A813" s="32"/>
      <c r="B813" s="27"/>
      <c r="C813" s="15" t="str">
        <f>IF(B813="","",IFERROR(INDEX(Items!$B$5:$B$19,MATCH(B813,Items!$A$5:$A$19,0)),"Unknown code"))</f>
        <v/>
      </c>
      <c r="D813" s="29"/>
      <c r="E813" s="18" t="str">
        <f>IF(B813="","",IFERROR(INDEX(Items!$C$5:$C$19,MATCH(B813,Items!$A$5:$A$19,0)),""))</f>
        <v/>
      </c>
      <c r="F813" s="18" t="str">
        <f t="shared" si="72"/>
        <v/>
      </c>
      <c r="G813" s="27"/>
      <c r="H813" s="23" t="str">
        <f>IF(OR(A813="",B813="",D813=""),"",IFERROR(INDEX(Items!$D$5:$D$19,MATCH(B813,Items!$A$5:$A$19,0))+SUMIFS(D$4:D812,B$4:B812,B813),""))</f>
        <v/>
      </c>
      <c r="I813" s="23" t="str">
        <f t="shared" si="73"/>
        <v/>
      </c>
      <c r="J813" s="23" t="str">
        <f t="shared" si="74"/>
        <v/>
      </c>
      <c r="K813" s="18" t="str">
        <f t="shared" si="75"/>
        <v/>
      </c>
      <c r="L813" s="16" t="str">
        <f t="shared" ca="1" si="76"/>
        <v/>
      </c>
      <c r="M813" s="25" t="str">
        <f>IF(H813="","",IF(I813&lt;=0,"Shipped",IF(L813&lt;=AGE30,"Fresh",IF(L813&lt;=AGE60,"Watch",IF(L813&lt;=AGE90,"Aging","Old")))))</f>
        <v/>
      </c>
      <c r="N813" s="16" t="str">
        <f t="shared" si="77"/>
        <v/>
      </c>
    </row>
    <row r="814" spans="1:14" x14ac:dyDescent="0.2">
      <c r="A814" s="32"/>
      <c r="B814" s="27"/>
      <c r="C814" s="15" t="str">
        <f>IF(B814="","",IFERROR(INDEX(Items!$B$5:$B$19,MATCH(B814,Items!$A$5:$A$19,0)),"Unknown code"))</f>
        <v/>
      </c>
      <c r="D814" s="29"/>
      <c r="E814" s="18" t="str">
        <f>IF(B814="","",IFERROR(INDEX(Items!$C$5:$C$19,MATCH(B814,Items!$A$5:$A$19,0)),""))</f>
        <v/>
      </c>
      <c r="F814" s="18" t="str">
        <f t="shared" si="72"/>
        <v/>
      </c>
      <c r="G814" s="27"/>
      <c r="H814" s="23" t="str">
        <f>IF(OR(A814="",B814="",D814=""),"",IFERROR(INDEX(Items!$D$5:$D$19,MATCH(B814,Items!$A$5:$A$19,0))+SUMIFS(D$4:D813,B$4:B813,B814),""))</f>
        <v/>
      </c>
      <c r="I814" s="23" t="str">
        <f t="shared" si="73"/>
        <v/>
      </c>
      <c r="J814" s="23" t="str">
        <f t="shared" si="74"/>
        <v/>
      </c>
      <c r="K814" s="18" t="str">
        <f t="shared" si="75"/>
        <v/>
      </c>
      <c r="L814" s="16" t="str">
        <f t="shared" ca="1" si="76"/>
        <v/>
      </c>
      <c r="M814" s="25" t="str">
        <f>IF(H814="","",IF(I814&lt;=0,"Shipped",IF(L814&lt;=AGE30,"Fresh",IF(L814&lt;=AGE60,"Watch",IF(L814&lt;=AGE90,"Aging","Old")))))</f>
        <v/>
      </c>
      <c r="N814" s="16" t="str">
        <f t="shared" si="77"/>
        <v/>
      </c>
    </row>
    <row r="815" spans="1:14" x14ac:dyDescent="0.2">
      <c r="A815" s="32"/>
      <c r="B815" s="27"/>
      <c r="C815" s="15" t="str">
        <f>IF(B815="","",IFERROR(INDEX(Items!$B$5:$B$19,MATCH(B815,Items!$A$5:$A$19,0)),"Unknown code"))</f>
        <v/>
      </c>
      <c r="D815" s="29"/>
      <c r="E815" s="18" t="str">
        <f>IF(B815="","",IFERROR(INDEX(Items!$C$5:$C$19,MATCH(B815,Items!$A$5:$A$19,0)),""))</f>
        <v/>
      </c>
      <c r="F815" s="18" t="str">
        <f t="shared" si="72"/>
        <v/>
      </c>
      <c r="G815" s="27"/>
      <c r="H815" s="23" t="str">
        <f>IF(OR(A815="",B815="",D815=""),"",IFERROR(INDEX(Items!$D$5:$D$19,MATCH(B815,Items!$A$5:$A$19,0))+SUMIFS(D$4:D814,B$4:B814,B815),""))</f>
        <v/>
      </c>
      <c r="I815" s="23" t="str">
        <f t="shared" si="73"/>
        <v/>
      </c>
      <c r="J815" s="23" t="str">
        <f t="shared" si="74"/>
        <v/>
      </c>
      <c r="K815" s="18" t="str">
        <f t="shared" si="75"/>
        <v/>
      </c>
      <c r="L815" s="16" t="str">
        <f t="shared" ca="1" si="76"/>
        <v/>
      </c>
      <c r="M815" s="25" t="str">
        <f>IF(H815="","",IF(I815&lt;=0,"Shipped",IF(L815&lt;=AGE30,"Fresh",IF(L815&lt;=AGE60,"Watch",IF(L815&lt;=AGE90,"Aging","Old")))))</f>
        <v/>
      </c>
      <c r="N815" s="16" t="str">
        <f t="shared" si="77"/>
        <v/>
      </c>
    </row>
    <row r="816" spans="1:14" x14ac:dyDescent="0.2">
      <c r="A816" s="32"/>
      <c r="B816" s="27"/>
      <c r="C816" s="15" t="str">
        <f>IF(B816="","",IFERROR(INDEX(Items!$B$5:$B$19,MATCH(B816,Items!$A$5:$A$19,0)),"Unknown code"))</f>
        <v/>
      </c>
      <c r="D816" s="29"/>
      <c r="E816" s="18" t="str">
        <f>IF(B816="","",IFERROR(INDEX(Items!$C$5:$C$19,MATCH(B816,Items!$A$5:$A$19,0)),""))</f>
        <v/>
      </c>
      <c r="F816" s="18" t="str">
        <f t="shared" si="72"/>
        <v/>
      </c>
      <c r="G816" s="27"/>
      <c r="H816" s="23" t="str">
        <f>IF(OR(A816="",B816="",D816=""),"",IFERROR(INDEX(Items!$D$5:$D$19,MATCH(B816,Items!$A$5:$A$19,0))+SUMIFS(D$4:D815,B$4:B815,B816),""))</f>
        <v/>
      </c>
      <c r="I816" s="23" t="str">
        <f t="shared" si="73"/>
        <v/>
      </c>
      <c r="J816" s="23" t="str">
        <f t="shared" si="74"/>
        <v/>
      </c>
      <c r="K816" s="18" t="str">
        <f t="shared" si="75"/>
        <v/>
      </c>
      <c r="L816" s="16" t="str">
        <f t="shared" ca="1" si="76"/>
        <v/>
      </c>
      <c r="M816" s="25" t="str">
        <f>IF(H816="","",IF(I816&lt;=0,"Shipped",IF(L816&lt;=AGE30,"Fresh",IF(L816&lt;=AGE60,"Watch",IF(L816&lt;=AGE90,"Aging","Old")))))</f>
        <v/>
      </c>
      <c r="N816" s="16" t="str">
        <f t="shared" si="77"/>
        <v/>
      </c>
    </row>
    <row r="817" spans="1:14" x14ac:dyDescent="0.2">
      <c r="A817" s="32"/>
      <c r="B817" s="27"/>
      <c r="C817" s="15" t="str">
        <f>IF(B817="","",IFERROR(INDEX(Items!$B$5:$B$19,MATCH(B817,Items!$A$5:$A$19,0)),"Unknown code"))</f>
        <v/>
      </c>
      <c r="D817" s="29"/>
      <c r="E817" s="18" t="str">
        <f>IF(B817="","",IFERROR(INDEX(Items!$C$5:$C$19,MATCH(B817,Items!$A$5:$A$19,0)),""))</f>
        <v/>
      </c>
      <c r="F817" s="18" t="str">
        <f t="shared" si="72"/>
        <v/>
      </c>
      <c r="G817" s="27"/>
      <c r="H817" s="23" t="str">
        <f>IF(OR(A817="",B817="",D817=""),"",IFERROR(INDEX(Items!$D$5:$D$19,MATCH(B817,Items!$A$5:$A$19,0))+SUMIFS(D$4:D816,B$4:B816,B817),""))</f>
        <v/>
      </c>
      <c r="I817" s="23" t="str">
        <f t="shared" si="73"/>
        <v/>
      </c>
      <c r="J817" s="23" t="str">
        <f t="shared" si="74"/>
        <v/>
      </c>
      <c r="K817" s="18" t="str">
        <f t="shared" si="75"/>
        <v/>
      </c>
      <c r="L817" s="16" t="str">
        <f t="shared" ca="1" si="76"/>
        <v/>
      </c>
      <c r="M817" s="25" t="str">
        <f>IF(H817="","",IF(I817&lt;=0,"Shipped",IF(L817&lt;=AGE30,"Fresh",IF(L817&lt;=AGE60,"Watch",IF(L817&lt;=AGE90,"Aging","Old")))))</f>
        <v/>
      </c>
      <c r="N817" s="16" t="str">
        <f t="shared" si="77"/>
        <v/>
      </c>
    </row>
    <row r="818" spans="1:14" x14ac:dyDescent="0.2">
      <c r="A818" s="32"/>
      <c r="B818" s="27"/>
      <c r="C818" s="15" t="str">
        <f>IF(B818="","",IFERROR(INDEX(Items!$B$5:$B$19,MATCH(B818,Items!$A$5:$A$19,0)),"Unknown code"))</f>
        <v/>
      </c>
      <c r="D818" s="29"/>
      <c r="E818" s="18" t="str">
        <f>IF(B818="","",IFERROR(INDEX(Items!$C$5:$C$19,MATCH(B818,Items!$A$5:$A$19,0)),""))</f>
        <v/>
      </c>
      <c r="F818" s="18" t="str">
        <f t="shared" si="72"/>
        <v/>
      </c>
      <c r="G818" s="27"/>
      <c r="H818" s="23" t="str">
        <f>IF(OR(A818="",B818="",D818=""),"",IFERROR(INDEX(Items!$D$5:$D$19,MATCH(B818,Items!$A$5:$A$19,0))+SUMIFS(D$4:D817,B$4:B817,B818),""))</f>
        <v/>
      </c>
      <c r="I818" s="23" t="str">
        <f t="shared" si="73"/>
        <v/>
      </c>
      <c r="J818" s="23" t="str">
        <f t="shared" si="74"/>
        <v/>
      </c>
      <c r="K818" s="18" t="str">
        <f t="shared" si="75"/>
        <v/>
      </c>
      <c r="L818" s="16" t="str">
        <f t="shared" ca="1" si="76"/>
        <v/>
      </c>
      <c r="M818" s="25" t="str">
        <f>IF(H818="","",IF(I818&lt;=0,"Shipped",IF(L818&lt;=AGE30,"Fresh",IF(L818&lt;=AGE60,"Watch",IF(L818&lt;=AGE90,"Aging","Old")))))</f>
        <v/>
      </c>
      <c r="N818" s="16" t="str">
        <f t="shared" si="77"/>
        <v/>
      </c>
    </row>
    <row r="819" spans="1:14" x14ac:dyDescent="0.2">
      <c r="A819" s="32"/>
      <c r="B819" s="27"/>
      <c r="C819" s="15" t="str">
        <f>IF(B819="","",IFERROR(INDEX(Items!$B$5:$B$19,MATCH(B819,Items!$A$5:$A$19,0)),"Unknown code"))</f>
        <v/>
      </c>
      <c r="D819" s="29"/>
      <c r="E819" s="18" t="str">
        <f>IF(B819="","",IFERROR(INDEX(Items!$C$5:$C$19,MATCH(B819,Items!$A$5:$A$19,0)),""))</f>
        <v/>
      </c>
      <c r="F819" s="18" t="str">
        <f t="shared" si="72"/>
        <v/>
      </c>
      <c r="G819" s="27"/>
      <c r="H819" s="23" t="str">
        <f>IF(OR(A819="",B819="",D819=""),"",IFERROR(INDEX(Items!$D$5:$D$19,MATCH(B819,Items!$A$5:$A$19,0))+SUMIFS(D$4:D818,B$4:B818,B819),""))</f>
        <v/>
      </c>
      <c r="I819" s="23" t="str">
        <f t="shared" si="73"/>
        <v/>
      </c>
      <c r="J819" s="23" t="str">
        <f t="shared" si="74"/>
        <v/>
      </c>
      <c r="K819" s="18" t="str">
        <f t="shared" si="75"/>
        <v/>
      </c>
      <c r="L819" s="16" t="str">
        <f t="shared" ca="1" si="76"/>
        <v/>
      </c>
      <c r="M819" s="25" t="str">
        <f>IF(H819="","",IF(I819&lt;=0,"Shipped",IF(L819&lt;=AGE30,"Fresh",IF(L819&lt;=AGE60,"Watch",IF(L819&lt;=AGE90,"Aging","Old")))))</f>
        <v/>
      </c>
      <c r="N819" s="16" t="str">
        <f t="shared" si="77"/>
        <v/>
      </c>
    </row>
    <row r="820" spans="1:14" x14ac:dyDescent="0.2">
      <c r="A820" s="32"/>
      <c r="B820" s="27"/>
      <c r="C820" s="15" t="str">
        <f>IF(B820="","",IFERROR(INDEX(Items!$B$5:$B$19,MATCH(B820,Items!$A$5:$A$19,0)),"Unknown code"))</f>
        <v/>
      </c>
      <c r="D820" s="29"/>
      <c r="E820" s="18" t="str">
        <f>IF(B820="","",IFERROR(INDEX(Items!$C$5:$C$19,MATCH(B820,Items!$A$5:$A$19,0)),""))</f>
        <v/>
      </c>
      <c r="F820" s="18" t="str">
        <f t="shared" si="72"/>
        <v/>
      </c>
      <c r="G820" s="27"/>
      <c r="H820" s="23" t="str">
        <f>IF(OR(A820="",B820="",D820=""),"",IFERROR(INDEX(Items!$D$5:$D$19,MATCH(B820,Items!$A$5:$A$19,0))+SUMIFS(D$4:D819,B$4:B819,B820),""))</f>
        <v/>
      </c>
      <c r="I820" s="23" t="str">
        <f t="shared" si="73"/>
        <v/>
      </c>
      <c r="J820" s="23" t="str">
        <f t="shared" si="74"/>
        <v/>
      </c>
      <c r="K820" s="18" t="str">
        <f t="shared" si="75"/>
        <v/>
      </c>
      <c r="L820" s="16" t="str">
        <f t="shared" ca="1" si="76"/>
        <v/>
      </c>
      <c r="M820" s="25" t="str">
        <f>IF(H820="","",IF(I820&lt;=0,"Shipped",IF(L820&lt;=AGE30,"Fresh",IF(L820&lt;=AGE60,"Watch",IF(L820&lt;=AGE90,"Aging","Old")))))</f>
        <v/>
      </c>
      <c r="N820" s="16" t="str">
        <f t="shared" si="77"/>
        <v/>
      </c>
    </row>
    <row r="821" spans="1:14" x14ac:dyDescent="0.2">
      <c r="A821" s="32"/>
      <c r="B821" s="27"/>
      <c r="C821" s="15" t="str">
        <f>IF(B821="","",IFERROR(INDEX(Items!$B$5:$B$19,MATCH(B821,Items!$A$5:$A$19,0)),"Unknown code"))</f>
        <v/>
      </c>
      <c r="D821" s="29"/>
      <c r="E821" s="18" t="str">
        <f>IF(B821="","",IFERROR(INDEX(Items!$C$5:$C$19,MATCH(B821,Items!$A$5:$A$19,0)),""))</f>
        <v/>
      </c>
      <c r="F821" s="18" t="str">
        <f t="shared" si="72"/>
        <v/>
      </c>
      <c r="G821" s="27"/>
      <c r="H821" s="23" t="str">
        <f>IF(OR(A821="",B821="",D821=""),"",IFERROR(INDEX(Items!$D$5:$D$19,MATCH(B821,Items!$A$5:$A$19,0))+SUMIFS(D$4:D820,B$4:B820,B821),""))</f>
        <v/>
      </c>
      <c r="I821" s="23" t="str">
        <f t="shared" si="73"/>
        <v/>
      </c>
      <c r="J821" s="23" t="str">
        <f t="shared" si="74"/>
        <v/>
      </c>
      <c r="K821" s="18" t="str">
        <f t="shared" si="75"/>
        <v/>
      </c>
      <c r="L821" s="16" t="str">
        <f t="shared" ca="1" si="76"/>
        <v/>
      </c>
      <c r="M821" s="25" t="str">
        <f>IF(H821="","",IF(I821&lt;=0,"Shipped",IF(L821&lt;=AGE30,"Fresh",IF(L821&lt;=AGE60,"Watch",IF(L821&lt;=AGE90,"Aging","Old")))))</f>
        <v/>
      </c>
      <c r="N821" s="16" t="str">
        <f t="shared" si="77"/>
        <v/>
      </c>
    </row>
    <row r="822" spans="1:14" x14ac:dyDescent="0.2">
      <c r="A822" s="32"/>
      <c r="B822" s="27"/>
      <c r="C822" s="15" t="str">
        <f>IF(B822="","",IFERROR(INDEX(Items!$B$5:$B$19,MATCH(B822,Items!$A$5:$A$19,0)),"Unknown code"))</f>
        <v/>
      </c>
      <c r="D822" s="29"/>
      <c r="E822" s="18" t="str">
        <f>IF(B822="","",IFERROR(INDEX(Items!$C$5:$C$19,MATCH(B822,Items!$A$5:$A$19,0)),""))</f>
        <v/>
      </c>
      <c r="F822" s="18" t="str">
        <f t="shared" si="72"/>
        <v/>
      </c>
      <c r="G822" s="27"/>
      <c r="H822" s="23" t="str">
        <f>IF(OR(A822="",B822="",D822=""),"",IFERROR(INDEX(Items!$D$5:$D$19,MATCH(B822,Items!$A$5:$A$19,0))+SUMIFS(D$4:D821,B$4:B821,B822),""))</f>
        <v/>
      </c>
      <c r="I822" s="23" t="str">
        <f t="shared" si="73"/>
        <v/>
      </c>
      <c r="J822" s="23" t="str">
        <f t="shared" si="74"/>
        <v/>
      </c>
      <c r="K822" s="18" t="str">
        <f t="shared" si="75"/>
        <v/>
      </c>
      <c r="L822" s="16" t="str">
        <f t="shared" ca="1" si="76"/>
        <v/>
      </c>
      <c r="M822" s="25" t="str">
        <f>IF(H822="","",IF(I822&lt;=0,"Shipped",IF(L822&lt;=AGE30,"Fresh",IF(L822&lt;=AGE60,"Watch",IF(L822&lt;=AGE90,"Aging","Old")))))</f>
        <v/>
      </c>
      <c r="N822" s="16" t="str">
        <f t="shared" si="77"/>
        <v/>
      </c>
    </row>
    <row r="823" spans="1:14" x14ac:dyDescent="0.2">
      <c r="A823" s="32"/>
      <c r="B823" s="27"/>
      <c r="C823" s="15" t="str">
        <f>IF(B823="","",IFERROR(INDEX(Items!$B$5:$B$19,MATCH(B823,Items!$A$5:$A$19,0)),"Unknown code"))</f>
        <v/>
      </c>
      <c r="D823" s="29"/>
      <c r="E823" s="18" t="str">
        <f>IF(B823="","",IFERROR(INDEX(Items!$C$5:$C$19,MATCH(B823,Items!$A$5:$A$19,0)),""))</f>
        <v/>
      </c>
      <c r="F823" s="18" t="str">
        <f t="shared" si="72"/>
        <v/>
      </c>
      <c r="G823" s="27"/>
      <c r="H823" s="23" t="str">
        <f>IF(OR(A823="",B823="",D823=""),"",IFERROR(INDEX(Items!$D$5:$D$19,MATCH(B823,Items!$A$5:$A$19,0))+SUMIFS(D$4:D822,B$4:B822,B823),""))</f>
        <v/>
      </c>
      <c r="I823" s="23" t="str">
        <f t="shared" si="73"/>
        <v/>
      </c>
      <c r="J823" s="23" t="str">
        <f t="shared" si="74"/>
        <v/>
      </c>
      <c r="K823" s="18" t="str">
        <f t="shared" si="75"/>
        <v/>
      </c>
      <c r="L823" s="16" t="str">
        <f t="shared" ca="1" si="76"/>
        <v/>
      </c>
      <c r="M823" s="25" t="str">
        <f>IF(H823="","",IF(I823&lt;=0,"Shipped",IF(L823&lt;=AGE30,"Fresh",IF(L823&lt;=AGE60,"Watch",IF(L823&lt;=AGE90,"Aging","Old")))))</f>
        <v/>
      </c>
      <c r="N823" s="16" t="str">
        <f t="shared" si="77"/>
        <v/>
      </c>
    </row>
    <row r="824" spans="1:14" x14ac:dyDescent="0.2">
      <c r="A824" s="32"/>
      <c r="B824" s="27"/>
      <c r="C824" s="15" t="str">
        <f>IF(B824="","",IFERROR(INDEX(Items!$B$5:$B$19,MATCH(B824,Items!$A$5:$A$19,0)),"Unknown code"))</f>
        <v/>
      </c>
      <c r="D824" s="29"/>
      <c r="E824" s="18" t="str">
        <f>IF(B824="","",IFERROR(INDEX(Items!$C$5:$C$19,MATCH(B824,Items!$A$5:$A$19,0)),""))</f>
        <v/>
      </c>
      <c r="F824" s="18" t="str">
        <f t="shared" si="72"/>
        <v/>
      </c>
      <c r="G824" s="27"/>
      <c r="H824" s="23" t="str">
        <f>IF(OR(A824="",B824="",D824=""),"",IFERROR(INDEX(Items!$D$5:$D$19,MATCH(B824,Items!$A$5:$A$19,0))+SUMIFS(D$4:D823,B$4:B823,B824),""))</f>
        <v/>
      </c>
      <c r="I824" s="23" t="str">
        <f t="shared" si="73"/>
        <v/>
      </c>
      <c r="J824" s="23" t="str">
        <f t="shared" si="74"/>
        <v/>
      </c>
      <c r="K824" s="18" t="str">
        <f t="shared" si="75"/>
        <v/>
      </c>
      <c r="L824" s="16" t="str">
        <f t="shared" ca="1" si="76"/>
        <v/>
      </c>
      <c r="M824" s="25" t="str">
        <f>IF(H824="","",IF(I824&lt;=0,"Shipped",IF(L824&lt;=AGE30,"Fresh",IF(L824&lt;=AGE60,"Watch",IF(L824&lt;=AGE90,"Aging","Old")))))</f>
        <v/>
      </c>
      <c r="N824" s="16" t="str">
        <f t="shared" si="77"/>
        <v/>
      </c>
    </row>
    <row r="825" spans="1:14" x14ac:dyDescent="0.2">
      <c r="A825" s="32"/>
      <c r="B825" s="27"/>
      <c r="C825" s="15" t="str">
        <f>IF(B825="","",IFERROR(INDEX(Items!$B$5:$B$19,MATCH(B825,Items!$A$5:$A$19,0)),"Unknown code"))</f>
        <v/>
      </c>
      <c r="D825" s="29"/>
      <c r="E825" s="18" t="str">
        <f>IF(B825="","",IFERROR(INDEX(Items!$C$5:$C$19,MATCH(B825,Items!$A$5:$A$19,0)),""))</f>
        <v/>
      </c>
      <c r="F825" s="18" t="str">
        <f t="shared" si="72"/>
        <v/>
      </c>
      <c r="G825" s="27"/>
      <c r="H825" s="23" t="str">
        <f>IF(OR(A825="",B825="",D825=""),"",IFERROR(INDEX(Items!$D$5:$D$19,MATCH(B825,Items!$A$5:$A$19,0))+SUMIFS(D$4:D824,B$4:B824,B825),""))</f>
        <v/>
      </c>
      <c r="I825" s="23" t="str">
        <f t="shared" si="73"/>
        <v/>
      </c>
      <c r="J825" s="23" t="str">
        <f t="shared" si="74"/>
        <v/>
      </c>
      <c r="K825" s="18" t="str">
        <f t="shared" si="75"/>
        <v/>
      </c>
      <c r="L825" s="16" t="str">
        <f t="shared" ca="1" si="76"/>
        <v/>
      </c>
      <c r="M825" s="25" t="str">
        <f>IF(H825="","",IF(I825&lt;=0,"Shipped",IF(L825&lt;=AGE30,"Fresh",IF(L825&lt;=AGE60,"Watch",IF(L825&lt;=AGE90,"Aging","Old")))))</f>
        <v/>
      </c>
      <c r="N825" s="16" t="str">
        <f t="shared" si="77"/>
        <v/>
      </c>
    </row>
    <row r="826" spans="1:14" x14ac:dyDescent="0.2">
      <c r="A826" s="32"/>
      <c r="B826" s="27"/>
      <c r="C826" s="15" t="str">
        <f>IF(B826="","",IFERROR(INDEX(Items!$B$5:$B$19,MATCH(B826,Items!$A$5:$A$19,0)),"Unknown code"))</f>
        <v/>
      </c>
      <c r="D826" s="29"/>
      <c r="E826" s="18" t="str">
        <f>IF(B826="","",IFERROR(INDEX(Items!$C$5:$C$19,MATCH(B826,Items!$A$5:$A$19,0)),""))</f>
        <v/>
      </c>
      <c r="F826" s="18" t="str">
        <f t="shared" si="72"/>
        <v/>
      </c>
      <c r="G826" s="27"/>
      <c r="H826" s="23" t="str">
        <f>IF(OR(A826="",B826="",D826=""),"",IFERROR(INDEX(Items!$D$5:$D$19,MATCH(B826,Items!$A$5:$A$19,0))+SUMIFS(D$4:D825,B$4:B825,B826),""))</f>
        <v/>
      </c>
      <c r="I826" s="23" t="str">
        <f t="shared" si="73"/>
        <v/>
      </c>
      <c r="J826" s="23" t="str">
        <f t="shared" si="74"/>
        <v/>
      </c>
      <c r="K826" s="18" t="str">
        <f t="shared" si="75"/>
        <v/>
      </c>
      <c r="L826" s="16" t="str">
        <f t="shared" ca="1" si="76"/>
        <v/>
      </c>
      <c r="M826" s="25" t="str">
        <f>IF(H826="","",IF(I826&lt;=0,"Shipped",IF(L826&lt;=AGE30,"Fresh",IF(L826&lt;=AGE60,"Watch",IF(L826&lt;=AGE90,"Aging","Old")))))</f>
        <v/>
      </c>
      <c r="N826" s="16" t="str">
        <f t="shared" si="77"/>
        <v/>
      </c>
    </row>
    <row r="827" spans="1:14" x14ac:dyDescent="0.2">
      <c r="A827" s="32"/>
      <c r="B827" s="27"/>
      <c r="C827" s="15" t="str">
        <f>IF(B827="","",IFERROR(INDEX(Items!$B$5:$B$19,MATCH(B827,Items!$A$5:$A$19,0)),"Unknown code"))</f>
        <v/>
      </c>
      <c r="D827" s="29"/>
      <c r="E827" s="18" t="str">
        <f>IF(B827="","",IFERROR(INDEX(Items!$C$5:$C$19,MATCH(B827,Items!$A$5:$A$19,0)),""))</f>
        <v/>
      </c>
      <c r="F827" s="18" t="str">
        <f t="shared" si="72"/>
        <v/>
      </c>
      <c r="G827" s="27"/>
      <c r="H827" s="23" t="str">
        <f>IF(OR(A827="",B827="",D827=""),"",IFERROR(INDEX(Items!$D$5:$D$19,MATCH(B827,Items!$A$5:$A$19,0))+SUMIFS(D$4:D826,B$4:B826,B827),""))</f>
        <v/>
      </c>
      <c r="I827" s="23" t="str">
        <f t="shared" si="73"/>
        <v/>
      </c>
      <c r="J827" s="23" t="str">
        <f t="shared" si="74"/>
        <v/>
      </c>
      <c r="K827" s="18" t="str">
        <f t="shared" si="75"/>
        <v/>
      </c>
      <c r="L827" s="16" t="str">
        <f t="shared" ca="1" si="76"/>
        <v/>
      </c>
      <c r="M827" s="25" t="str">
        <f>IF(H827="","",IF(I827&lt;=0,"Shipped",IF(L827&lt;=AGE30,"Fresh",IF(L827&lt;=AGE60,"Watch",IF(L827&lt;=AGE90,"Aging","Old")))))</f>
        <v/>
      </c>
      <c r="N827" s="16" t="str">
        <f t="shared" si="77"/>
        <v/>
      </c>
    </row>
    <row r="828" spans="1:14" x14ac:dyDescent="0.2">
      <c r="A828" s="32"/>
      <c r="B828" s="27"/>
      <c r="C828" s="15" t="str">
        <f>IF(B828="","",IFERROR(INDEX(Items!$B$5:$B$19,MATCH(B828,Items!$A$5:$A$19,0)),"Unknown code"))</f>
        <v/>
      </c>
      <c r="D828" s="29"/>
      <c r="E828" s="18" t="str">
        <f>IF(B828="","",IFERROR(INDEX(Items!$C$5:$C$19,MATCH(B828,Items!$A$5:$A$19,0)),""))</f>
        <v/>
      </c>
      <c r="F828" s="18" t="str">
        <f t="shared" si="72"/>
        <v/>
      </c>
      <c r="G828" s="27"/>
      <c r="H828" s="23" t="str">
        <f>IF(OR(A828="",B828="",D828=""),"",IFERROR(INDEX(Items!$D$5:$D$19,MATCH(B828,Items!$A$5:$A$19,0))+SUMIFS(D$4:D827,B$4:B827,B828),""))</f>
        <v/>
      </c>
      <c r="I828" s="23" t="str">
        <f t="shared" si="73"/>
        <v/>
      </c>
      <c r="J828" s="23" t="str">
        <f t="shared" si="74"/>
        <v/>
      </c>
      <c r="K828" s="18" t="str">
        <f t="shared" si="75"/>
        <v/>
      </c>
      <c r="L828" s="16" t="str">
        <f t="shared" ca="1" si="76"/>
        <v/>
      </c>
      <c r="M828" s="25" t="str">
        <f>IF(H828="","",IF(I828&lt;=0,"Shipped",IF(L828&lt;=AGE30,"Fresh",IF(L828&lt;=AGE60,"Watch",IF(L828&lt;=AGE90,"Aging","Old")))))</f>
        <v/>
      </c>
      <c r="N828" s="16" t="str">
        <f t="shared" si="77"/>
        <v/>
      </c>
    </row>
    <row r="829" spans="1:14" x14ac:dyDescent="0.2">
      <c r="A829" s="32"/>
      <c r="B829" s="27"/>
      <c r="C829" s="15" t="str">
        <f>IF(B829="","",IFERROR(INDEX(Items!$B$5:$B$19,MATCH(B829,Items!$A$5:$A$19,0)),"Unknown code"))</f>
        <v/>
      </c>
      <c r="D829" s="29"/>
      <c r="E829" s="18" t="str">
        <f>IF(B829="","",IFERROR(INDEX(Items!$C$5:$C$19,MATCH(B829,Items!$A$5:$A$19,0)),""))</f>
        <v/>
      </c>
      <c r="F829" s="18" t="str">
        <f t="shared" si="72"/>
        <v/>
      </c>
      <c r="G829" s="27"/>
      <c r="H829" s="23" t="str">
        <f>IF(OR(A829="",B829="",D829=""),"",IFERROR(INDEX(Items!$D$5:$D$19,MATCH(B829,Items!$A$5:$A$19,0))+SUMIFS(D$4:D828,B$4:B828,B829),""))</f>
        <v/>
      </c>
      <c r="I829" s="23" t="str">
        <f t="shared" si="73"/>
        <v/>
      </c>
      <c r="J829" s="23" t="str">
        <f t="shared" si="74"/>
        <v/>
      </c>
      <c r="K829" s="18" t="str">
        <f t="shared" si="75"/>
        <v/>
      </c>
      <c r="L829" s="16" t="str">
        <f t="shared" ca="1" si="76"/>
        <v/>
      </c>
      <c r="M829" s="25" t="str">
        <f>IF(H829="","",IF(I829&lt;=0,"Shipped",IF(L829&lt;=AGE30,"Fresh",IF(L829&lt;=AGE60,"Watch",IF(L829&lt;=AGE90,"Aging","Old")))))</f>
        <v/>
      </c>
      <c r="N829" s="16" t="str">
        <f t="shared" si="77"/>
        <v/>
      </c>
    </row>
    <row r="830" spans="1:14" x14ac:dyDescent="0.2">
      <c r="A830" s="32"/>
      <c r="B830" s="27"/>
      <c r="C830" s="15" t="str">
        <f>IF(B830="","",IFERROR(INDEX(Items!$B$5:$B$19,MATCH(B830,Items!$A$5:$A$19,0)),"Unknown code"))</f>
        <v/>
      </c>
      <c r="D830" s="29"/>
      <c r="E830" s="18" t="str">
        <f>IF(B830="","",IFERROR(INDEX(Items!$C$5:$C$19,MATCH(B830,Items!$A$5:$A$19,0)),""))</f>
        <v/>
      </c>
      <c r="F830" s="18" t="str">
        <f t="shared" si="72"/>
        <v/>
      </c>
      <c r="G830" s="27"/>
      <c r="H830" s="23" t="str">
        <f>IF(OR(A830="",B830="",D830=""),"",IFERROR(INDEX(Items!$D$5:$D$19,MATCH(B830,Items!$A$5:$A$19,0))+SUMIFS(D$4:D829,B$4:B829,B830),""))</f>
        <v/>
      </c>
      <c r="I830" s="23" t="str">
        <f t="shared" si="73"/>
        <v/>
      </c>
      <c r="J830" s="23" t="str">
        <f t="shared" si="74"/>
        <v/>
      </c>
      <c r="K830" s="18" t="str">
        <f t="shared" si="75"/>
        <v/>
      </c>
      <c r="L830" s="16" t="str">
        <f t="shared" ca="1" si="76"/>
        <v/>
      </c>
      <c r="M830" s="25" t="str">
        <f>IF(H830="","",IF(I830&lt;=0,"Shipped",IF(L830&lt;=AGE30,"Fresh",IF(L830&lt;=AGE60,"Watch",IF(L830&lt;=AGE90,"Aging","Old")))))</f>
        <v/>
      </c>
      <c r="N830" s="16" t="str">
        <f t="shared" si="77"/>
        <v/>
      </c>
    </row>
    <row r="831" spans="1:14" x14ac:dyDescent="0.2">
      <c r="A831" s="32"/>
      <c r="B831" s="27"/>
      <c r="C831" s="15" t="str">
        <f>IF(B831="","",IFERROR(INDEX(Items!$B$5:$B$19,MATCH(B831,Items!$A$5:$A$19,0)),"Unknown code"))</f>
        <v/>
      </c>
      <c r="D831" s="29"/>
      <c r="E831" s="18" t="str">
        <f>IF(B831="","",IFERROR(INDEX(Items!$C$5:$C$19,MATCH(B831,Items!$A$5:$A$19,0)),""))</f>
        <v/>
      </c>
      <c r="F831" s="18" t="str">
        <f t="shared" si="72"/>
        <v/>
      </c>
      <c r="G831" s="27"/>
      <c r="H831" s="23" t="str">
        <f>IF(OR(A831="",B831="",D831=""),"",IFERROR(INDEX(Items!$D$5:$D$19,MATCH(B831,Items!$A$5:$A$19,0))+SUMIFS(D$4:D830,B$4:B830,B831),""))</f>
        <v/>
      </c>
      <c r="I831" s="23" t="str">
        <f t="shared" si="73"/>
        <v/>
      </c>
      <c r="J831" s="23" t="str">
        <f t="shared" si="74"/>
        <v/>
      </c>
      <c r="K831" s="18" t="str">
        <f t="shared" si="75"/>
        <v/>
      </c>
      <c r="L831" s="16" t="str">
        <f t="shared" ca="1" si="76"/>
        <v/>
      </c>
      <c r="M831" s="25" t="str">
        <f>IF(H831="","",IF(I831&lt;=0,"Shipped",IF(L831&lt;=AGE30,"Fresh",IF(L831&lt;=AGE60,"Watch",IF(L831&lt;=AGE90,"Aging","Old")))))</f>
        <v/>
      </c>
      <c r="N831" s="16" t="str">
        <f t="shared" si="77"/>
        <v/>
      </c>
    </row>
    <row r="832" spans="1:14" x14ac:dyDescent="0.2">
      <c r="A832" s="32"/>
      <c r="B832" s="27"/>
      <c r="C832" s="15" t="str">
        <f>IF(B832="","",IFERROR(INDEX(Items!$B$5:$B$19,MATCH(B832,Items!$A$5:$A$19,0)),"Unknown code"))</f>
        <v/>
      </c>
      <c r="D832" s="29"/>
      <c r="E832" s="18" t="str">
        <f>IF(B832="","",IFERROR(INDEX(Items!$C$5:$C$19,MATCH(B832,Items!$A$5:$A$19,0)),""))</f>
        <v/>
      </c>
      <c r="F832" s="18" t="str">
        <f t="shared" si="72"/>
        <v/>
      </c>
      <c r="G832" s="27"/>
      <c r="H832" s="23" t="str">
        <f>IF(OR(A832="",B832="",D832=""),"",IFERROR(INDEX(Items!$D$5:$D$19,MATCH(B832,Items!$A$5:$A$19,0))+SUMIFS(D$4:D831,B$4:B831,B832),""))</f>
        <v/>
      </c>
      <c r="I832" s="23" t="str">
        <f t="shared" si="73"/>
        <v/>
      </c>
      <c r="J832" s="23" t="str">
        <f t="shared" si="74"/>
        <v/>
      </c>
      <c r="K832" s="18" t="str">
        <f t="shared" si="75"/>
        <v/>
      </c>
      <c r="L832" s="16" t="str">
        <f t="shared" ca="1" si="76"/>
        <v/>
      </c>
      <c r="M832" s="25" t="str">
        <f>IF(H832="","",IF(I832&lt;=0,"Shipped",IF(L832&lt;=AGE30,"Fresh",IF(L832&lt;=AGE60,"Watch",IF(L832&lt;=AGE90,"Aging","Old")))))</f>
        <v/>
      </c>
      <c r="N832" s="16" t="str">
        <f t="shared" si="77"/>
        <v/>
      </c>
    </row>
    <row r="833" spans="1:14" x14ac:dyDescent="0.2">
      <c r="A833" s="32"/>
      <c r="B833" s="27"/>
      <c r="C833" s="15" t="str">
        <f>IF(B833="","",IFERROR(INDEX(Items!$B$5:$B$19,MATCH(B833,Items!$A$5:$A$19,0)),"Unknown code"))</f>
        <v/>
      </c>
      <c r="D833" s="29"/>
      <c r="E833" s="18" t="str">
        <f>IF(B833="","",IFERROR(INDEX(Items!$C$5:$C$19,MATCH(B833,Items!$A$5:$A$19,0)),""))</f>
        <v/>
      </c>
      <c r="F833" s="18" t="str">
        <f t="shared" si="72"/>
        <v/>
      </c>
      <c r="G833" s="27"/>
      <c r="H833" s="23" t="str">
        <f>IF(OR(A833="",B833="",D833=""),"",IFERROR(INDEX(Items!$D$5:$D$19,MATCH(B833,Items!$A$5:$A$19,0))+SUMIFS(D$4:D832,B$4:B832,B833),""))</f>
        <v/>
      </c>
      <c r="I833" s="23" t="str">
        <f t="shared" si="73"/>
        <v/>
      </c>
      <c r="J833" s="23" t="str">
        <f t="shared" si="74"/>
        <v/>
      </c>
      <c r="K833" s="18" t="str">
        <f t="shared" si="75"/>
        <v/>
      </c>
      <c r="L833" s="16" t="str">
        <f t="shared" ca="1" si="76"/>
        <v/>
      </c>
      <c r="M833" s="25" t="str">
        <f>IF(H833="","",IF(I833&lt;=0,"Shipped",IF(L833&lt;=AGE30,"Fresh",IF(L833&lt;=AGE60,"Watch",IF(L833&lt;=AGE90,"Aging","Old")))))</f>
        <v/>
      </c>
      <c r="N833" s="16" t="str">
        <f t="shared" si="77"/>
        <v/>
      </c>
    </row>
    <row r="834" spans="1:14" x14ac:dyDescent="0.2">
      <c r="A834" s="32"/>
      <c r="B834" s="27"/>
      <c r="C834" s="15" t="str">
        <f>IF(B834="","",IFERROR(INDEX(Items!$B$5:$B$19,MATCH(B834,Items!$A$5:$A$19,0)),"Unknown code"))</f>
        <v/>
      </c>
      <c r="D834" s="29"/>
      <c r="E834" s="18" t="str">
        <f>IF(B834="","",IFERROR(INDEX(Items!$C$5:$C$19,MATCH(B834,Items!$A$5:$A$19,0)),""))</f>
        <v/>
      </c>
      <c r="F834" s="18" t="str">
        <f t="shared" si="72"/>
        <v/>
      </c>
      <c r="G834" s="27"/>
      <c r="H834" s="23" t="str">
        <f>IF(OR(A834="",B834="",D834=""),"",IFERROR(INDEX(Items!$D$5:$D$19,MATCH(B834,Items!$A$5:$A$19,0))+SUMIFS(D$4:D833,B$4:B833,B834),""))</f>
        <v/>
      </c>
      <c r="I834" s="23" t="str">
        <f t="shared" si="73"/>
        <v/>
      </c>
      <c r="J834" s="23" t="str">
        <f t="shared" si="74"/>
        <v/>
      </c>
      <c r="K834" s="18" t="str">
        <f t="shared" si="75"/>
        <v/>
      </c>
      <c r="L834" s="16" t="str">
        <f t="shared" ca="1" si="76"/>
        <v/>
      </c>
      <c r="M834" s="25" t="str">
        <f>IF(H834="","",IF(I834&lt;=0,"Shipped",IF(L834&lt;=AGE30,"Fresh",IF(L834&lt;=AGE60,"Watch",IF(L834&lt;=AGE90,"Aging","Old")))))</f>
        <v/>
      </c>
      <c r="N834" s="16" t="str">
        <f t="shared" si="77"/>
        <v/>
      </c>
    </row>
    <row r="835" spans="1:14" x14ac:dyDescent="0.2">
      <c r="A835" s="32"/>
      <c r="B835" s="27"/>
      <c r="C835" s="15" t="str">
        <f>IF(B835="","",IFERROR(INDEX(Items!$B$5:$B$19,MATCH(B835,Items!$A$5:$A$19,0)),"Unknown code"))</f>
        <v/>
      </c>
      <c r="D835" s="29"/>
      <c r="E835" s="18" t="str">
        <f>IF(B835="","",IFERROR(INDEX(Items!$C$5:$C$19,MATCH(B835,Items!$A$5:$A$19,0)),""))</f>
        <v/>
      </c>
      <c r="F835" s="18" t="str">
        <f t="shared" si="72"/>
        <v/>
      </c>
      <c r="G835" s="27"/>
      <c r="H835" s="23" t="str">
        <f>IF(OR(A835="",B835="",D835=""),"",IFERROR(INDEX(Items!$D$5:$D$19,MATCH(B835,Items!$A$5:$A$19,0))+SUMIFS(D$4:D834,B$4:B834,B835),""))</f>
        <v/>
      </c>
      <c r="I835" s="23" t="str">
        <f t="shared" si="73"/>
        <v/>
      </c>
      <c r="J835" s="23" t="str">
        <f t="shared" si="74"/>
        <v/>
      </c>
      <c r="K835" s="18" t="str">
        <f t="shared" si="75"/>
        <v/>
      </c>
      <c r="L835" s="16" t="str">
        <f t="shared" ca="1" si="76"/>
        <v/>
      </c>
      <c r="M835" s="25" t="str">
        <f>IF(H835="","",IF(I835&lt;=0,"Shipped",IF(L835&lt;=AGE30,"Fresh",IF(L835&lt;=AGE60,"Watch",IF(L835&lt;=AGE90,"Aging","Old")))))</f>
        <v/>
      </c>
      <c r="N835" s="16" t="str">
        <f t="shared" si="77"/>
        <v/>
      </c>
    </row>
    <row r="836" spans="1:14" x14ac:dyDescent="0.2">
      <c r="A836" s="32"/>
      <c r="B836" s="27"/>
      <c r="C836" s="15" t="str">
        <f>IF(B836="","",IFERROR(INDEX(Items!$B$5:$B$19,MATCH(B836,Items!$A$5:$A$19,0)),"Unknown code"))</f>
        <v/>
      </c>
      <c r="D836" s="29"/>
      <c r="E836" s="18" t="str">
        <f>IF(B836="","",IFERROR(INDEX(Items!$C$5:$C$19,MATCH(B836,Items!$A$5:$A$19,0)),""))</f>
        <v/>
      </c>
      <c r="F836" s="18" t="str">
        <f t="shared" si="72"/>
        <v/>
      </c>
      <c r="G836" s="27"/>
      <c r="H836" s="23" t="str">
        <f>IF(OR(A836="",B836="",D836=""),"",IFERROR(INDEX(Items!$D$5:$D$19,MATCH(B836,Items!$A$5:$A$19,0))+SUMIFS(D$4:D835,B$4:B835,B836),""))</f>
        <v/>
      </c>
      <c r="I836" s="23" t="str">
        <f t="shared" si="73"/>
        <v/>
      </c>
      <c r="J836" s="23" t="str">
        <f t="shared" si="74"/>
        <v/>
      </c>
      <c r="K836" s="18" t="str">
        <f t="shared" si="75"/>
        <v/>
      </c>
      <c r="L836" s="16" t="str">
        <f t="shared" ca="1" si="76"/>
        <v/>
      </c>
      <c r="M836" s="25" t="str">
        <f>IF(H836="","",IF(I836&lt;=0,"Shipped",IF(L836&lt;=AGE30,"Fresh",IF(L836&lt;=AGE60,"Watch",IF(L836&lt;=AGE90,"Aging","Old")))))</f>
        <v/>
      </c>
      <c r="N836" s="16" t="str">
        <f t="shared" si="77"/>
        <v/>
      </c>
    </row>
    <row r="837" spans="1:14" x14ac:dyDescent="0.2">
      <c r="A837" s="32"/>
      <c r="B837" s="27"/>
      <c r="C837" s="15" t="str">
        <f>IF(B837="","",IFERROR(INDEX(Items!$B$5:$B$19,MATCH(B837,Items!$A$5:$A$19,0)),"Unknown code"))</f>
        <v/>
      </c>
      <c r="D837" s="29"/>
      <c r="E837" s="18" t="str">
        <f>IF(B837="","",IFERROR(INDEX(Items!$C$5:$C$19,MATCH(B837,Items!$A$5:$A$19,0)),""))</f>
        <v/>
      </c>
      <c r="F837" s="18" t="str">
        <f t="shared" ref="F837:F900" si="78">IF(OR(D837="",E837=""),"",D837*E837)</f>
        <v/>
      </c>
      <c r="G837" s="27"/>
      <c r="H837" s="23" t="str">
        <f>IF(OR(A837="",B837="",D837=""),"",IFERROR(INDEX(Items!$D$5:$D$19,MATCH(B837,Items!$A$5:$A$19,0))+SUMIFS(D$4:D836,B$4:B836,B837),""))</f>
        <v/>
      </c>
      <c r="I837" s="23" t="str">
        <f t="shared" ref="I837:I900" si="79">IF(H837="","",MAX(0,MIN(D837,H837+D837-TotalShipped)))</f>
        <v/>
      </c>
      <c r="J837" s="23" t="str">
        <f t="shared" ref="J837:J900" si="80">IF(H837="","",D837-I837)</f>
        <v/>
      </c>
      <c r="K837" s="18" t="str">
        <f t="shared" ref="K837:K900" si="81">IF(OR(H837="",E837=""),"",I837*E837)</f>
        <v/>
      </c>
      <c r="L837" s="16" t="str">
        <f t="shared" ref="L837:L900" ca="1" si="82">IF(H837="","",IF(I837&gt;0,TODAY()-A837,""))</f>
        <v/>
      </c>
      <c r="M837" s="25" t="str">
        <f>IF(H837="","",IF(I837&lt;=0,"Shipped",IF(L837&lt;=AGE30,"Fresh",IF(L837&lt;=AGE60,"Watch",IF(L837&lt;=AGE90,"Aging","Old")))))</f>
        <v/>
      </c>
      <c r="N837" s="16" t="str">
        <f t="shared" ref="N837:N900" si="83">IF(H837="","",J837*A837)</f>
        <v/>
      </c>
    </row>
    <row r="838" spans="1:14" x14ac:dyDescent="0.2">
      <c r="A838" s="32"/>
      <c r="B838" s="27"/>
      <c r="C838" s="15" t="str">
        <f>IF(B838="","",IFERROR(INDEX(Items!$B$5:$B$19,MATCH(B838,Items!$A$5:$A$19,0)),"Unknown code"))</f>
        <v/>
      </c>
      <c r="D838" s="29"/>
      <c r="E838" s="18" t="str">
        <f>IF(B838="","",IFERROR(INDEX(Items!$C$5:$C$19,MATCH(B838,Items!$A$5:$A$19,0)),""))</f>
        <v/>
      </c>
      <c r="F838" s="18" t="str">
        <f t="shared" si="78"/>
        <v/>
      </c>
      <c r="G838" s="27"/>
      <c r="H838" s="23" t="str">
        <f>IF(OR(A838="",B838="",D838=""),"",IFERROR(INDEX(Items!$D$5:$D$19,MATCH(B838,Items!$A$5:$A$19,0))+SUMIFS(D$4:D837,B$4:B837,B838),""))</f>
        <v/>
      </c>
      <c r="I838" s="23" t="str">
        <f t="shared" si="79"/>
        <v/>
      </c>
      <c r="J838" s="23" t="str">
        <f t="shared" si="80"/>
        <v/>
      </c>
      <c r="K838" s="18" t="str">
        <f t="shared" si="81"/>
        <v/>
      </c>
      <c r="L838" s="16" t="str">
        <f t="shared" ca="1" si="82"/>
        <v/>
      </c>
      <c r="M838" s="25" t="str">
        <f>IF(H838="","",IF(I838&lt;=0,"Shipped",IF(L838&lt;=AGE30,"Fresh",IF(L838&lt;=AGE60,"Watch",IF(L838&lt;=AGE90,"Aging","Old")))))</f>
        <v/>
      </c>
      <c r="N838" s="16" t="str">
        <f t="shared" si="83"/>
        <v/>
      </c>
    </row>
    <row r="839" spans="1:14" x14ac:dyDescent="0.2">
      <c r="A839" s="32"/>
      <c r="B839" s="27"/>
      <c r="C839" s="15" t="str">
        <f>IF(B839="","",IFERROR(INDEX(Items!$B$5:$B$19,MATCH(B839,Items!$A$5:$A$19,0)),"Unknown code"))</f>
        <v/>
      </c>
      <c r="D839" s="29"/>
      <c r="E839" s="18" t="str">
        <f>IF(B839="","",IFERROR(INDEX(Items!$C$5:$C$19,MATCH(B839,Items!$A$5:$A$19,0)),""))</f>
        <v/>
      </c>
      <c r="F839" s="18" t="str">
        <f t="shared" si="78"/>
        <v/>
      </c>
      <c r="G839" s="27"/>
      <c r="H839" s="23" t="str">
        <f>IF(OR(A839="",B839="",D839=""),"",IFERROR(INDEX(Items!$D$5:$D$19,MATCH(B839,Items!$A$5:$A$19,0))+SUMIFS(D$4:D838,B$4:B838,B839),""))</f>
        <v/>
      </c>
      <c r="I839" s="23" t="str">
        <f t="shared" si="79"/>
        <v/>
      </c>
      <c r="J839" s="23" t="str">
        <f t="shared" si="80"/>
        <v/>
      </c>
      <c r="K839" s="18" t="str">
        <f t="shared" si="81"/>
        <v/>
      </c>
      <c r="L839" s="16" t="str">
        <f t="shared" ca="1" si="82"/>
        <v/>
      </c>
      <c r="M839" s="25" t="str">
        <f>IF(H839="","",IF(I839&lt;=0,"Shipped",IF(L839&lt;=AGE30,"Fresh",IF(L839&lt;=AGE60,"Watch",IF(L839&lt;=AGE90,"Aging","Old")))))</f>
        <v/>
      </c>
      <c r="N839" s="16" t="str">
        <f t="shared" si="83"/>
        <v/>
      </c>
    </row>
    <row r="840" spans="1:14" x14ac:dyDescent="0.2">
      <c r="A840" s="32"/>
      <c r="B840" s="27"/>
      <c r="C840" s="15" t="str">
        <f>IF(B840="","",IFERROR(INDEX(Items!$B$5:$B$19,MATCH(B840,Items!$A$5:$A$19,0)),"Unknown code"))</f>
        <v/>
      </c>
      <c r="D840" s="29"/>
      <c r="E840" s="18" t="str">
        <f>IF(B840="","",IFERROR(INDEX(Items!$C$5:$C$19,MATCH(B840,Items!$A$5:$A$19,0)),""))</f>
        <v/>
      </c>
      <c r="F840" s="18" t="str">
        <f t="shared" si="78"/>
        <v/>
      </c>
      <c r="G840" s="27"/>
      <c r="H840" s="23" t="str">
        <f>IF(OR(A840="",B840="",D840=""),"",IFERROR(INDEX(Items!$D$5:$D$19,MATCH(B840,Items!$A$5:$A$19,0))+SUMIFS(D$4:D839,B$4:B839,B840),""))</f>
        <v/>
      </c>
      <c r="I840" s="23" t="str">
        <f t="shared" si="79"/>
        <v/>
      </c>
      <c r="J840" s="23" t="str">
        <f t="shared" si="80"/>
        <v/>
      </c>
      <c r="K840" s="18" t="str">
        <f t="shared" si="81"/>
        <v/>
      </c>
      <c r="L840" s="16" t="str">
        <f t="shared" ca="1" si="82"/>
        <v/>
      </c>
      <c r="M840" s="25" t="str">
        <f>IF(H840="","",IF(I840&lt;=0,"Shipped",IF(L840&lt;=AGE30,"Fresh",IF(L840&lt;=AGE60,"Watch",IF(L840&lt;=AGE90,"Aging","Old")))))</f>
        <v/>
      </c>
      <c r="N840" s="16" t="str">
        <f t="shared" si="83"/>
        <v/>
      </c>
    </row>
    <row r="841" spans="1:14" x14ac:dyDescent="0.2">
      <c r="A841" s="32"/>
      <c r="B841" s="27"/>
      <c r="C841" s="15" t="str">
        <f>IF(B841="","",IFERROR(INDEX(Items!$B$5:$B$19,MATCH(B841,Items!$A$5:$A$19,0)),"Unknown code"))</f>
        <v/>
      </c>
      <c r="D841" s="29"/>
      <c r="E841" s="18" t="str">
        <f>IF(B841="","",IFERROR(INDEX(Items!$C$5:$C$19,MATCH(B841,Items!$A$5:$A$19,0)),""))</f>
        <v/>
      </c>
      <c r="F841" s="18" t="str">
        <f t="shared" si="78"/>
        <v/>
      </c>
      <c r="G841" s="27"/>
      <c r="H841" s="23" t="str">
        <f>IF(OR(A841="",B841="",D841=""),"",IFERROR(INDEX(Items!$D$5:$D$19,MATCH(B841,Items!$A$5:$A$19,0))+SUMIFS(D$4:D840,B$4:B840,B841),""))</f>
        <v/>
      </c>
      <c r="I841" s="23" t="str">
        <f t="shared" si="79"/>
        <v/>
      </c>
      <c r="J841" s="23" t="str">
        <f t="shared" si="80"/>
        <v/>
      </c>
      <c r="K841" s="18" t="str">
        <f t="shared" si="81"/>
        <v/>
      </c>
      <c r="L841" s="16" t="str">
        <f t="shared" ca="1" si="82"/>
        <v/>
      </c>
      <c r="M841" s="25" t="str">
        <f>IF(H841="","",IF(I841&lt;=0,"Shipped",IF(L841&lt;=AGE30,"Fresh",IF(L841&lt;=AGE60,"Watch",IF(L841&lt;=AGE90,"Aging","Old")))))</f>
        <v/>
      </c>
      <c r="N841" s="16" t="str">
        <f t="shared" si="83"/>
        <v/>
      </c>
    </row>
    <row r="842" spans="1:14" x14ac:dyDescent="0.2">
      <c r="A842" s="32"/>
      <c r="B842" s="27"/>
      <c r="C842" s="15" t="str">
        <f>IF(B842="","",IFERROR(INDEX(Items!$B$5:$B$19,MATCH(B842,Items!$A$5:$A$19,0)),"Unknown code"))</f>
        <v/>
      </c>
      <c r="D842" s="29"/>
      <c r="E842" s="18" t="str">
        <f>IF(B842="","",IFERROR(INDEX(Items!$C$5:$C$19,MATCH(B842,Items!$A$5:$A$19,0)),""))</f>
        <v/>
      </c>
      <c r="F842" s="18" t="str">
        <f t="shared" si="78"/>
        <v/>
      </c>
      <c r="G842" s="27"/>
      <c r="H842" s="23" t="str">
        <f>IF(OR(A842="",B842="",D842=""),"",IFERROR(INDEX(Items!$D$5:$D$19,MATCH(B842,Items!$A$5:$A$19,0))+SUMIFS(D$4:D841,B$4:B841,B842),""))</f>
        <v/>
      </c>
      <c r="I842" s="23" t="str">
        <f t="shared" si="79"/>
        <v/>
      </c>
      <c r="J842" s="23" t="str">
        <f t="shared" si="80"/>
        <v/>
      </c>
      <c r="K842" s="18" t="str">
        <f t="shared" si="81"/>
        <v/>
      </c>
      <c r="L842" s="16" t="str">
        <f t="shared" ca="1" si="82"/>
        <v/>
      </c>
      <c r="M842" s="25" t="str">
        <f>IF(H842="","",IF(I842&lt;=0,"Shipped",IF(L842&lt;=AGE30,"Fresh",IF(L842&lt;=AGE60,"Watch",IF(L842&lt;=AGE90,"Aging","Old")))))</f>
        <v/>
      </c>
      <c r="N842" s="16" t="str">
        <f t="shared" si="83"/>
        <v/>
      </c>
    </row>
    <row r="843" spans="1:14" x14ac:dyDescent="0.2">
      <c r="A843" s="32"/>
      <c r="B843" s="27"/>
      <c r="C843" s="15" t="str">
        <f>IF(B843="","",IFERROR(INDEX(Items!$B$5:$B$19,MATCH(B843,Items!$A$5:$A$19,0)),"Unknown code"))</f>
        <v/>
      </c>
      <c r="D843" s="29"/>
      <c r="E843" s="18" t="str">
        <f>IF(B843="","",IFERROR(INDEX(Items!$C$5:$C$19,MATCH(B843,Items!$A$5:$A$19,0)),""))</f>
        <v/>
      </c>
      <c r="F843" s="18" t="str">
        <f t="shared" si="78"/>
        <v/>
      </c>
      <c r="G843" s="27"/>
      <c r="H843" s="23" t="str">
        <f>IF(OR(A843="",B843="",D843=""),"",IFERROR(INDEX(Items!$D$5:$D$19,MATCH(B843,Items!$A$5:$A$19,0))+SUMIFS(D$4:D842,B$4:B842,B843),""))</f>
        <v/>
      </c>
      <c r="I843" s="23" t="str">
        <f t="shared" si="79"/>
        <v/>
      </c>
      <c r="J843" s="23" t="str">
        <f t="shared" si="80"/>
        <v/>
      </c>
      <c r="K843" s="18" t="str">
        <f t="shared" si="81"/>
        <v/>
      </c>
      <c r="L843" s="16" t="str">
        <f t="shared" ca="1" si="82"/>
        <v/>
      </c>
      <c r="M843" s="25" t="str">
        <f>IF(H843="","",IF(I843&lt;=0,"Shipped",IF(L843&lt;=AGE30,"Fresh",IF(L843&lt;=AGE60,"Watch",IF(L843&lt;=AGE90,"Aging","Old")))))</f>
        <v/>
      </c>
      <c r="N843" s="16" t="str">
        <f t="shared" si="83"/>
        <v/>
      </c>
    </row>
    <row r="844" spans="1:14" x14ac:dyDescent="0.2">
      <c r="A844" s="32"/>
      <c r="B844" s="27"/>
      <c r="C844" s="15" t="str">
        <f>IF(B844="","",IFERROR(INDEX(Items!$B$5:$B$19,MATCH(B844,Items!$A$5:$A$19,0)),"Unknown code"))</f>
        <v/>
      </c>
      <c r="D844" s="29"/>
      <c r="E844" s="18" t="str">
        <f>IF(B844="","",IFERROR(INDEX(Items!$C$5:$C$19,MATCH(B844,Items!$A$5:$A$19,0)),""))</f>
        <v/>
      </c>
      <c r="F844" s="18" t="str">
        <f t="shared" si="78"/>
        <v/>
      </c>
      <c r="G844" s="27"/>
      <c r="H844" s="23" t="str">
        <f>IF(OR(A844="",B844="",D844=""),"",IFERROR(INDEX(Items!$D$5:$D$19,MATCH(B844,Items!$A$5:$A$19,0))+SUMIFS(D$4:D843,B$4:B843,B844),""))</f>
        <v/>
      </c>
      <c r="I844" s="23" t="str">
        <f t="shared" si="79"/>
        <v/>
      </c>
      <c r="J844" s="23" t="str">
        <f t="shared" si="80"/>
        <v/>
      </c>
      <c r="K844" s="18" t="str">
        <f t="shared" si="81"/>
        <v/>
      </c>
      <c r="L844" s="16" t="str">
        <f t="shared" ca="1" si="82"/>
        <v/>
      </c>
      <c r="M844" s="25" t="str">
        <f>IF(H844="","",IF(I844&lt;=0,"Shipped",IF(L844&lt;=AGE30,"Fresh",IF(L844&lt;=AGE60,"Watch",IF(L844&lt;=AGE90,"Aging","Old")))))</f>
        <v/>
      </c>
      <c r="N844" s="16" t="str">
        <f t="shared" si="83"/>
        <v/>
      </c>
    </row>
    <row r="845" spans="1:14" x14ac:dyDescent="0.2">
      <c r="A845" s="32"/>
      <c r="B845" s="27"/>
      <c r="C845" s="15" t="str">
        <f>IF(B845="","",IFERROR(INDEX(Items!$B$5:$B$19,MATCH(B845,Items!$A$5:$A$19,0)),"Unknown code"))</f>
        <v/>
      </c>
      <c r="D845" s="29"/>
      <c r="E845" s="18" t="str">
        <f>IF(B845="","",IFERROR(INDEX(Items!$C$5:$C$19,MATCH(B845,Items!$A$5:$A$19,0)),""))</f>
        <v/>
      </c>
      <c r="F845" s="18" t="str">
        <f t="shared" si="78"/>
        <v/>
      </c>
      <c r="G845" s="27"/>
      <c r="H845" s="23" t="str">
        <f>IF(OR(A845="",B845="",D845=""),"",IFERROR(INDEX(Items!$D$5:$D$19,MATCH(B845,Items!$A$5:$A$19,0))+SUMIFS(D$4:D844,B$4:B844,B845),""))</f>
        <v/>
      </c>
      <c r="I845" s="23" t="str">
        <f t="shared" si="79"/>
        <v/>
      </c>
      <c r="J845" s="23" t="str">
        <f t="shared" si="80"/>
        <v/>
      </c>
      <c r="K845" s="18" t="str">
        <f t="shared" si="81"/>
        <v/>
      </c>
      <c r="L845" s="16" t="str">
        <f t="shared" ca="1" si="82"/>
        <v/>
      </c>
      <c r="M845" s="25" t="str">
        <f>IF(H845="","",IF(I845&lt;=0,"Shipped",IF(L845&lt;=AGE30,"Fresh",IF(L845&lt;=AGE60,"Watch",IF(L845&lt;=AGE90,"Aging","Old")))))</f>
        <v/>
      </c>
      <c r="N845" s="16" t="str">
        <f t="shared" si="83"/>
        <v/>
      </c>
    </row>
    <row r="846" spans="1:14" x14ac:dyDescent="0.2">
      <c r="A846" s="32"/>
      <c r="B846" s="27"/>
      <c r="C846" s="15" t="str">
        <f>IF(B846="","",IFERROR(INDEX(Items!$B$5:$B$19,MATCH(B846,Items!$A$5:$A$19,0)),"Unknown code"))</f>
        <v/>
      </c>
      <c r="D846" s="29"/>
      <c r="E846" s="18" t="str">
        <f>IF(B846="","",IFERROR(INDEX(Items!$C$5:$C$19,MATCH(B846,Items!$A$5:$A$19,0)),""))</f>
        <v/>
      </c>
      <c r="F846" s="18" t="str">
        <f t="shared" si="78"/>
        <v/>
      </c>
      <c r="G846" s="27"/>
      <c r="H846" s="23" t="str">
        <f>IF(OR(A846="",B846="",D846=""),"",IFERROR(INDEX(Items!$D$5:$D$19,MATCH(B846,Items!$A$5:$A$19,0))+SUMIFS(D$4:D845,B$4:B845,B846),""))</f>
        <v/>
      </c>
      <c r="I846" s="23" t="str">
        <f t="shared" si="79"/>
        <v/>
      </c>
      <c r="J846" s="23" t="str">
        <f t="shared" si="80"/>
        <v/>
      </c>
      <c r="K846" s="18" t="str">
        <f t="shared" si="81"/>
        <v/>
      </c>
      <c r="L846" s="16" t="str">
        <f t="shared" ca="1" si="82"/>
        <v/>
      </c>
      <c r="M846" s="25" t="str">
        <f>IF(H846="","",IF(I846&lt;=0,"Shipped",IF(L846&lt;=AGE30,"Fresh",IF(L846&lt;=AGE60,"Watch",IF(L846&lt;=AGE90,"Aging","Old")))))</f>
        <v/>
      </c>
      <c r="N846" s="16" t="str">
        <f t="shared" si="83"/>
        <v/>
      </c>
    </row>
    <row r="847" spans="1:14" x14ac:dyDescent="0.2">
      <c r="A847" s="32"/>
      <c r="B847" s="27"/>
      <c r="C847" s="15" t="str">
        <f>IF(B847="","",IFERROR(INDEX(Items!$B$5:$B$19,MATCH(B847,Items!$A$5:$A$19,0)),"Unknown code"))</f>
        <v/>
      </c>
      <c r="D847" s="29"/>
      <c r="E847" s="18" t="str">
        <f>IF(B847="","",IFERROR(INDEX(Items!$C$5:$C$19,MATCH(B847,Items!$A$5:$A$19,0)),""))</f>
        <v/>
      </c>
      <c r="F847" s="18" t="str">
        <f t="shared" si="78"/>
        <v/>
      </c>
      <c r="G847" s="27"/>
      <c r="H847" s="23" t="str">
        <f>IF(OR(A847="",B847="",D847=""),"",IFERROR(INDEX(Items!$D$5:$D$19,MATCH(B847,Items!$A$5:$A$19,0))+SUMIFS(D$4:D846,B$4:B846,B847),""))</f>
        <v/>
      </c>
      <c r="I847" s="23" t="str">
        <f t="shared" si="79"/>
        <v/>
      </c>
      <c r="J847" s="23" t="str">
        <f t="shared" si="80"/>
        <v/>
      </c>
      <c r="K847" s="18" t="str">
        <f t="shared" si="81"/>
        <v/>
      </c>
      <c r="L847" s="16" t="str">
        <f t="shared" ca="1" si="82"/>
        <v/>
      </c>
      <c r="M847" s="25" t="str">
        <f>IF(H847="","",IF(I847&lt;=0,"Shipped",IF(L847&lt;=AGE30,"Fresh",IF(L847&lt;=AGE60,"Watch",IF(L847&lt;=AGE90,"Aging","Old")))))</f>
        <v/>
      </c>
      <c r="N847" s="16" t="str">
        <f t="shared" si="83"/>
        <v/>
      </c>
    </row>
    <row r="848" spans="1:14" x14ac:dyDescent="0.2">
      <c r="A848" s="32"/>
      <c r="B848" s="27"/>
      <c r="C848" s="15" t="str">
        <f>IF(B848="","",IFERROR(INDEX(Items!$B$5:$B$19,MATCH(B848,Items!$A$5:$A$19,0)),"Unknown code"))</f>
        <v/>
      </c>
      <c r="D848" s="29"/>
      <c r="E848" s="18" t="str">
        <f>IF(B848="","",IFERROR(INDEX(Items!$C$5:$C$19,MATCH(B848,Items!$A$5:$A$19,0)),""))</f>
        <v/>
      </c>
      <c r="F848" s="18" t="str">
        <f t="shared" si="78"/>
        <v/>
      </c>
      <c r="G848" s="27"/>
      <c r="H848" s="23" t="str">
        <f>IF(OR(A848="",B848="",D848=""),"",IFERROR(INDEX(Items!$D$5:$D$19,MATCH(B848,Items!$A$5:$A$19,0))+SUMIFS(D$4:D847,B$4:B847,B848),""))</f>
        <v/>
      </c>
      <c r="I848" s="23" t="str">
        <f t="shared" si="79"/>
        <v/>
      </c>
      <c r="J848" s="23" t="str">
        <f t="shared" si="80"/>
        <v/>
      </c>
      <c r="K848" s="18" t="str">
        <f t="shared" si="81"/>
        <v/>
      </c>
      <c r="L848" s="16" t="str">
        <f t="shared" ca="1" si="82"/>
        <v/>
      </c>
      <c r="M848" s="25" t="str">
        <f>IF(H848="","",IF(I848&lt;=0,"Shipped",IF(L848&lt;=AGE30,"Fresh",IF(L848&lt;=AGE60,"Watch",IF(L848&lt;=AGE90,"Aging","Old")))))</f>
        <v/>
      </c>
      <c r="N848" s="16" t="str">
        <f t="shared" si="83"/>
        <v/>
      </c>
    </row>
    <row r="849" spans="1:14" x14ac:dyDescent="0.2">
      <c r="A849" s="32"/>
      <c r="B849" s="27"/>
      <c r="C849" s="15" t="str">
        <f>IF(B849="","",IFERROR(INDEX(Items!$B$5:$B$19,MATCH(B849,Items!$A$5:$A$19,0)),"Unknown code"))</f>
        <v/>
      </c>
      <c r="D849" s="29"/>
      <c r="E849" s="18" t="str">
        <f>IF(B849="","",IFERROR(INDEX(Items!$C$5:$C$19,MATCH(B849,Items!$A$5:$A$19,0)),""))</f>
        <v/>
      </c>
      <c r="F849" s="18" t="str">
        <f t="shared" si="78"/>
        <v/>
      </c>
      <c r="G849" s="27"/>
      <c r="H849" s="23" t="str">
        <f>IF(OR(A849="",B849="",D849=""),"",IFERROR(INDEX(Items!$D$5:$D$19,MATCH(B849,Items!$A$5:$A$19,0))+SUMIFS(D$4:D848,B$4:B848,B849),""))</f>
        <v/>
      </c>
      <c r="I849" s="23" t="str">
        <f t="shared" si="79"/>
        <v/>
      </c>
      <c r="J849" s="23" t="str">
        <f t="shared" si="80"/>
        <v/>
      </c>
      <c r="K849" s="18" t="str">
        <f t="shared" si="81"/>
        <v/>
      </c>
      <c r="L849" s="16" t="str">
        <f t="shared" ca="1" si="82"/>
        <v/>
      </c>
      <c r="M849" s="25" t="str">
        <f>IF(H849="","",IF(I849&lt;=0,"Shipped",IF(L849&lt;=AGE30,"Fresh",IF(L849&lt;=AGE60,"Watch",IF(L849&lt;=AGE90,"Aging","Old")))))</f>
        <v/>
      </c>
      <c r="N849" s="16" t="str">
        <f t="shared" si="83"/>
        <v/>
      </c>
    </row>
    <row r="850" spans="1:14" x14ac:dyDescent="0.2">
      <c r="A850" s="32"/>
      <c r="B850" s="27"/>
      <c r="C850" s="15" t="str">
        <f>IF(B850="","",IFERROR(INDEX(Items!$B$5:$B$19,MATCH(B850,Items!$A$5:$A$19,0)),"Unknown code"))</f>
        <v/>
      </c>
      <c r="D850" s="29"/>
      <c r="E850" s="18" t="str">
        <f>IF(B850="","",IFERROR(INDEX(Items!$C$5:$C$19,MATCH(B850,Items!$A$5:$A$19,0)),""))</f>
        <v/>
      </c>
      <c r="F850" s="18" t="str">
        <f t="shared" si="78"/>
        <v/>
      </c>
      <c r="G850" s="27"/>
      <c r="H850" s="23" t="str">
        <f>IF(OR(A850="",B850="",D850=""),"",IFERROR(INDEX(Items!$D$5:$D$19,MATCH(B850,Items!$A$5:$A$19,0))+SUMIFS(D$4:D849,B$4:B849,B850),""))</f>
        <v/>
      </c>
      <c r="I850" s="23" t="str">
        <f t="shared" si="79"/>
        <v/>
      </c>
      <c r="J850" s="23" t="str">
        <f t="shared" si="80"/>
        <v/>
      </c>
      <c r="K850" s="18" t="str">
        <f t="shared" si="81"/>
        <v/>
      </c>
      <c r="L850" s="16" t="str">
        <f t="shared" ca="1" si="82"/>
        <v/>
      </c>
      <c r="M850" s="25" t="str">
        <f>IF(H850="","",IF(I850&lt;=0,"Shipped",IF(L850&lt;=AGE30,"Fresh",IF(L850&lt;=AGE60,"Watch",IF(L850&lt;=AGE90,"Aging","Old")))))</f>
        <v/>
      </c>
      <c r="N850" s="16" t="str">
        <f t="shared" si="83"/>
        <v/>
      </c>
    </row>
    <row r="851" spans="1:14" x14ac:dyDescent="0.2">
      <c r="A851" s="32"/>
      <c r="B851" s="27"/>
      <c r="C851" s="15" t="str">
        <f>IF(B851="","",IFERROR(INDEX(Items!$B$5:$B$19,MATCH(B851,Items!$A$5:$A$19,0)),"Unknown code"))</f>
        <v/>
      </c>
      <c r="D851" s="29"/>
      <c r="E851" s="18" t="str">
        <f>IF(B851="","",IFERROR(INDEX(Items!$C$5:$C$19,MATCH(B851,Items!$A$5:$A$19,0)),""))</f>
        <v/>
      </c>
      <c r="F851" s="18" t="str">
        <f t="shared" si="78"/>
        <v/>
      </c>
      <c r="G851" s="27"/>
      <c r="H851" s="23" t="str">
        <f>IF(OR(A851="",B851="",D851=""),"",IFERROR(INDEX(Items!$D$5:$D$19,MATCH(B851,Items!$A$5:$A$19,0))+SUMIFS(D$4:D850,B$4:B850,B851),""))</f>
        <v/>
      </c>
      <c r="I851" s="23" t="str">
        <f t="shared" si="79"/>
        <v/>
      </c>
      <c r="J851" s="23" t="str">
        <f t="shared" si="80"/>
        <v/>
      </c>
      <c r="K851" s="18" t="str">
        <f t="shared" si="81"/>
        <v/>
      </c>
      <c r="L851" s="16" t="str">
        <f t="shared" ca="1" si="82"/>
        <v/>
      </c>
      <c r="M851" s="25" t="str">
        <f>IF(H851="","",IF(I851&lt;=0,"Shipped",IF(L851&lt;=AGE30,"Fresh",IF(L851&lt;=AGE60,"Watch",IF(L851&lt;=AGE90,"Aging","Old")))))</f>
        <v/>
      </c>
      <c r="N851" s="16" t="str">
        <f t="shared" si="83"/>
        <v/>
      </c>
    </row>
    <row r="852" spans="1:14" x14ac:dyDescent="0.2">
      <c r="A852" s="32"/>
      <c r="B852" s="27"/>
      <c r="C852" s="15" t="str">
        <f>IF(B852="","",IFERROR(INDEX(Items!$B$5:$B$19,MATCH(B852,Items!$A$5:$A$19,0)),"Unknown code"))</f>
        <v/>
      </c>
      <c r="D852" s="29"/>
      <c r="E852" s="18" t="str">
        <f>IF(B852="","",IFERROR(INDEX(Items!$C$5:$C$19,MATCH(B852,Items!$A$5:$A$19,0)),""))</f>
        <v/>
      </c>
      <c r="F852" s="18" t="str">
        <f t="shared" si="78"/>
        <v/>
      </c>
      <c r="G852" s="27"/>
      <c r="H852" s="23" t="str">
        <f>IF(OR(A852="",B852="",D852=""),"",IFERROR(INDEX(Items!$D$5:$D$19,MATCH(B852,Items!$A$5:$A$19,0))+SUMIFS(D$4:D851,B$4:B851,B852),""))</f>
        <v/>
      </c>
      <c r="I852" s="23" t="str">
        <f t="shared" si="79"/>
        <v/>
      </c>
      <c r="J852" s="23" t="str">
        <f t="shared" si="80"/>
        <v/>
      </c>
      <c r="K852" s="18" t="str">
        <f t="shared" si="81"/>
        <v/>
      </c>
      <c r="L852" s="16" t="str">
        <f t="shared" ca="1" si="82"/>
        <v/>
      </c>
      <c r="M852" s="25" t="str">
        <f>IF(H852="","",IF(I852&lt;=0,"Shipped",IF(L852&lt;=AGE30,"Fresh",IF(L852&lt;=AGE60,"Watch",IF(L852&lt;=AGE90,"Aging","Old")))))</f>
        <v/>
      </c>
      <c r="N852" s="16" t="str">
        <f t="shared" si="83"/>
        <v/>
      </c>
    </row>
    <row r="853" spans="1:14" x14ac:dyDescent="0.2">
      <c r="A853" s="32"/>
      <c r="B853" s="27"/>
      <c r="C853" s="15" t="str">
        <f>IF(B853="","",IFERROR(INDEX(Items!$B$5:$B$19,MATCH(B853,Items!$A$5:$A$19,0)),"Unknown code"))</f>
        <v/>
      </c>
      <c r="D853" s="29"/>
      <c r="E853" s="18" t="str">
        <f>IF(B853="","",IFERROR(INDEX(Items!$C$5:$C$19,MATCH(B853,Items!$A$5:$A$19,0)),""))</f>
        <v/>
      </c>
      <c r="F853" s="18" t="str">
        <f t="shared" si="78"/>
        <v/>
      </c>
      <c r="G853" s="27"/>
      <c r="H853" s="23" t="str">
        <f>IF(OR(A853="",B853="",D853=""),"",IFERROR(INDEX(Items!$D$5:$D$19,MATCH(B853,Items!$A$5:$A$19,0))+SUMIFS(D$4:D852,B$4:B852,B853),""))</f>
        <v/>
      </c>
      <c r="I853" s="23" t="str">
        <f t="shared" si="79"/>
        <v/>
      </c>
      <c r="J853" s="23" t="str">
        <f t="shared" si="80"/>
        <v/>
      </c>
      <c r="K853" s="18" t="str">
        <f t="shared" si="81"/>
        <v/>
      </c>
      <c r="L853" s="16" t="str">
        <f t="shared" ca="1" si="82"/>
        <v/>
      </c>
      <c r="M853" s="25" t="str">
        <f>IF(H853="","",IF(I853&lt;=0,"Shipped",IF(L853&lt;=AGE30,"Fresh",IF(L853&lt;=AGE60,"Watch",IF(L853&lt;=AGE90,"Aging","Old")))))</f>
        <v/>
      </c>
      <c r="N853" s="16" t="str">
        <f t="shared" si="83"/>
        <v/>
      </c>
    </row>
    <row r="854" spans="1:14" x14ac:dyDescent="0.2">
      <c r="A854" s="32"/>
      <c r="B854" s="27"/>
      <c r="C854" s="15" t="str">
        <f>IF(B854="","",IFERROR(INDEX(Items!$B$5:$B$19,MATCH(B854,Items!$A$5:$A$19,0)),"Unknown code"))</f>
        <v/>
      </c>
      <c r="D854" s="29"/>
      <c r="E854" s="18" t="str">
        <f>IF(B854="","",IFERROR(INDEX(Items!$C$5:$C$19,MATCH(B854,Items!$A$5:$A$19,0)),""))</f>
        <v/>
      </c>
      <c r="F854" s="18" t="str">
        <f t="shared" si="78"/>
        <v/>
      </c>
      <c r="G854" s="27"/>
      <c r="H854" s="23" t="str">
        <f>IF(OR(A854="",B854="",D854=""),"",IFERROR(INDEX(Items!$D$5:$D$19,MATCH(B854,Items!$A$5:$A$19,0))+SUMIFS(D$4:D853,B$4:B853,B854),""))</f>
        <v/>
      </c>
      <c r="I854" s="23" t="str">
        <f t="shared" si="79"/>
        <v/>
      </c>
      <c r="J854" s="23" t="str">
        <f t="shared" si="80"/>
        <v/>
      </c>
      <c r="K854" s="18" t="str">
        <f t="shared" si="81"/>
        <v/>
      </c>
      <c r="L854" s="16" t="str">
        <f t="shared" ca="1" si="82"/>
        <v/>
      </c>
      <c r="M854" s="25" t="str">
        <f>IF(H854="","",IF(I854&lt;=0,"Shipped",IF(L854&lt;=AGE30,"Fresh",IF(L854&lt;=AGE60,"Watch",IF(L854&lt;=AGE90,"Aging","Old")))))</f>
        <v/>
      </c>
      <c r="N854" s="16" t="str">
        <f t="shared" si="83"/>
        <v/>
      </c>
    </row>
    <row r="855" spans="1:14" x14ac:dyDescent="0.2">
      <c r="A855" s="32"/>
      <c r="B855" s="27"/>
      <c r="C855" s="15" t="str">
        <f>IF(B855="","",IFERROR(INDEX(Items!$B$5:$B$19,MATCH(B855,Items!$A$5:$A$19,0)),"Unknown code"))</f>
        <v/>
      </c>
      <c r="D855" s="29"/>
      <c r="E855" s="18" t="str">
        <f>IF(B855="","",IFERROR(INDEX(Items!$C$5:$C$19,MATCH(B855,Items!$A$5:$A$19,0)),""))</f>
        <v/>
      </c>
      <c r="F855" s="18" t="str">
        <f t="shared" si="78"/>
        <v/>
      </c>
      <c r="G855" s="27"/>
      <c r="H855" s="23" t="str">
        <f>IF(OR(A855="",B855="",D855=""),"",IFERROR(INDEX(Items!$D$5:$D$19,MATCH(B855,Items!$A$5:$A$19,0))+SUMIFS(D$4:D854,B$4:B854,B855),""))</f>
        <v/>
      </c>
      <c r="I855" s="23" t="str">
        <f t="shared" si="79"/>
        <v/>
      </c>
      <c r="J855" s="23" t="str">
        <f t="shared" si="80"/>
        <v/>
      </c>
      <c r="K855" s="18" t="str">
        <f t="shared" si="81"/>
        <v/>
      </c>
      <c r="L855" s="16" t="str">
        <f t="shared" ca="1" si="82"/>
        <v/>
      </c>
      <c r="M855" s="25" t="str">
        <f>IF(H855="","",IF(I855&lt;=0,"Shipped",IF(L855&lt;=AGE30,"Fresh",IF(L855&lt;=AGE60,"Watch",IF(L855&lt;=AGE90,"Aging","Old")))))</f>
        <v/>
      </c>
      <c r="N855" s="16" t="str">
        <f t="shared" si="83"/>
        <v/>
      </c>
    </row>
    <row r="856" spans="1:14" x14ac:dyDescent="0.2">
      <c r="A856" s="32"/>
      <c r="B856" s="27"/>
      <c r="C856" s="15" t="str">
        <f>IF(B856="","",IFERROR(INDEX(Items!$B$5:$B$19,MATCH(B856,Items!$A$5:$A$19,0)),"Unknown code"))</f>
        <v/>
      </c>
      <c r="D856" s="29"/>
      <c r="E856" s="18" t="str">
        <f>IF(B856="","",IFERROR(INDEX(Items!$C$5:$C$19,MATCH(B856,Items!$A$5:$A$19,0)),""))</f>
        <v/>
      </c>
      <c r="F856" s="18" t="str">
        <f t="shared" si="78"/>
        <v/>
      </c>
      <c r="G856" s="27"/>
      <c r="H856" s="23" t="str">
        <f>IF(OR(A856="",B856="",D856=""),"",IFERROR(INDEX(Items!$D$5:$D$19,MATCH(B856,Items!$A$5:$A$19,0))+SUMIFS(D$4:D855,B$4:B855,B856),""))</f>
        <v/>
      </c>
      <c r="I856" s="23" t="str">
        <f t="shared" si="79"/>
        <v/>
      </c>
      <c r="J856" s="23" t="str">
        <f t="shared" si="80"/>
        <v/>
      </c>
      <c r="K856" s="18" t="str">
        <f t="shared" si="81"/>
        <v/>
      </c>
      <c r="L856" s="16" t="str">
        <f t="shared" ca="1" si="82"/>
        <v/>
      </c>
      <c r="M856" s="25" t="str">
        <f>IF(H856="","",IF(I856&lt;=0,"Shipped",IF(L856&lt;=AGE30,"Fresh",IF(L856&lt;=AGE60,"Watch",IF(L856&lt;=AGE90,"Aging","Old")))))</f>
        <v/>
      </c>
      <c r="N856" s="16" t="str">
        <f t="shared" si="83"/>
        <v/>
      </c>
    </row>
    <row r="857" spans="1:14" x14ac:dyDescent="0.2">
      <c r="A857" s="32"/>
      <c r="B857" s="27"/>
      <c r="C857" s="15" t="str">
        <f>IF(B857="","",IFERROR(INDEX(Items!$B$5:$B$19,MATCH(B857,Items!$A$5:$A$19,0)),"Unknown code"))</f>
        <v/>
      </c>
      <c r="D857" s="29"/>
      <c r="E857" s="18" t="str">
        <f>IF(B857="","",IFERROR(INDEX(Items!$C$5:$C$19,MATCH(B857,Items!$A$5:$A$19,0)),""))</f>
        <v/>
      </c>
      <c r="F857" s="18" t="str">
        <f t="shared" si="78"/>
        <v/>
      </c>
      <c r="G857" s="27"/>
      <c r="H857" s="23" t="str">
        <f>IF(OR(A857="",B857="",D857=""),"",IFERROR(INDEX(Items!$D$5:$D$19,MATCH(B857,Items!$A$5:$A$19,0))+SUMIFS(D$4:D856,B$4:B856,B857),""))</f>
        <v/>
      </c>
      <c r="I857" s="23" t="str">
        <f t="shared" si="79"/>
        <v/>
      </c>
      <c r="J857" s="23" t="str">
        <f t="shared" si="80"/>
        <v/>
      </c>
      <c r="K857" s="18" t="str">
        <f t="shared" si="81"/>
        <v/>
      </c>
      <c r="L857" s="16" t="str">
        <f t="shared" ca="1" si="82"/>
        <v/>
      </c>
      <c r="M857" s="25" t="str">
        <f>IF(H857="","",IF(I857&lt;=0,"Shipped",IF(L857&lt;=AGE30,"Fresh",IF(L857&lt;=AGE60,"Watch",IF(L857&lt;=AGE90,"Aging","Old")))))</f>
        <v/>
      </c>
      <c r="N857" s="16" t="str">
        <f t="shared" si="83"/>
        <v/>
      </c>
    </row>
    <row r="858" spans="1:14" x14ac:dyDescent="0.2">
      <c r="A858" s="32"/>
      <c r="B858" s="27"/>
      <c r="C858" s="15" t="str">
        <f>IF(B858="","",IFERROR(INDEX(Items!$B$5:$B$19,MATCH(B858,Items!$A$5:$A$19,0)),"Unknown code"))</f>
        <v/>
      </c>
      <c r="D858" s="29"/>
      <c r="E858" s="18" t="str">
        <f>IF(B858="","",IFERROR(INDEX(Items!$C$5:$C$19,MATCH(B858,Items!$A$5:$A$19,0)),""))</f>
        <v/>
      </c>
      <c r="F858" s="18" t="str">
        <f t="shared" si="78"/>
        <v/>
      </c>
      <c r="G858" s="27"/>
      <c r="H858" s="23" t="str">
        <f>IF(OR(A858="",B858="",D858=""),"",IFERROR(INDEX(Items!$D$5:$D$19,MATCH(B858,Items!$A$5:$A$19,0))+SUMIFS(D$4:D857,B$4:B857,B858),""))</f>
        <v/>
      </c>
      <c r="I858" s="23" t="str">
        <f t="shared" si="79"/>
        <v/>
      </c>
      <c r="J858" s="23" t="str">
        <f t="shared" si="80"/>
        <v/>
      </c>
      <c r="K858" s="18" t="str">
        <f t="shared" si="81"/>
        <v/>
      </c>
      <c r="L858" s="16" t="str">
        <f t="shared" ca="1" si="82"/>
        <v/>
      </c>
      <c r="M858" s="25" t="str">
        <f>IF(H858="","",IF(I858&lt;=0,"Shipped",IF(L858&lt;=AGE30,"Fresh",IF(L858&lt;=AGE60,"Watch",IF(L858&lt;=AGE90,"Aging","Old")))))</f>
        <v/>
      </c>
      <c r="N858" s="16" t="str">
        <f t="shared" si="83"/>
        <v/>
      </c>
    </row>
    <row r="859" spans="1:14" x14ac:dyDescent="0.2">
      <c r="A859" s="32"/>
      <c r="B859" s="27"/>
      <c r="C859" s="15" t="str">
        <f>IF(B859="","",IFERROR(INDEX(Items!$B$5:$B$19,MATCH(B859,Items!$A$5:$A$19,0)),"Unknown code"))</f>
        <v/>
      </c>
      <c r="D859" s="29"/>
      <c r="E859" s="18" t="str">
        <f>IF(B859="","",IFERROR(INDEX(Items!$C$5:$C$19,MATCH(B859,Items!$A$5:$A$19,0)),""))</f>
        <v/>
      </c>
      <c r="F859" s="18" t="str">
        <f t="shared" si="78"/>
        <v/>
      </c>
      <c r="G859" s="27"/>
      <c r="H859" s="23" t="str">
        <f>IF(OR(A859="",B859="",D859=""),"",IFERROR(INDEX(Items!$D$5:$D$19,MATCH(B859,Items!$A$5:$A$19,0))+SUMIFS(D$4:D858,B$4:B858,B859),""))</f>
        <v/>
      </c>
      <c r="I859" s="23" t="str">
        <f t="shared" si="79"/>
        <v/>
      </c>
      <c r="J859" s="23" t="str">
        <f t="shared" si="80"/>
        <v/>
      </c>
      <c r="K859" s="18" t="str">
        <f t="shared" si="81"/>
        <v/>
      </c>
      <c r="L859" s="16" t="str">
        <f t="shared" ca="1" si="82"/>
        <v/>
      </c>
      <c r="M859" s="25" t="str">
        <f>IF(H859="","",IF(I859&lt;=0,"Shipped",IF(L859&lt;=AGE30,"Fresh",IF(L859&lt;=AGE60,"Watch",IF(L859&lt;=AGE90,"Aging","Old")))))</f>
        <v/>
      </c>
      <c r="N859" s="16" t="str">
        <f t="shared" si="83"/>
        <v/>
      </c>
    </row>
    <row r="860" spans="1:14" x14ac:dyDescent="0.2">
      <c r="A860" s="32"/>
      <c r="B860" s="27"/>
      <c r="C860" s="15" t="str">
        <f>IF(B860="","",IFERROR(INDEX(Items!$B$5:$B$19,MATCH(B860,Items!$A$5:$A$19,0)),"Unknown code"))</f>
        <v/>
      </c>
      <c r="D860" s="29"/>
      <c r="E860" s="18" t="str">
        <f>IF(B860="","",IFERROR(INDEX(Items!$C$5:$C$19,MATCH(B860,Items!$A$5:$A$19,0)),""))</f>
        <v/>
      </c>
      <c r="F860" s="18" t="str">
        <f t="shared" si="78"/>
        <v/>
      </c>
      <c r="G860" s="27"/>
      <c r="H860" s="23" t="str">
        <f>IF(OR(A860="",B860="",D860=""),"",IFERROR(INDEX(Items!$D$5:$D$19,MATCH(B860,Items!$A$5:$A$19,0))+SUMIFS(D$4:D859,B$4:B859,B860),""))</f>
        <v/>
      </c>
      <c r="I860" s="23" t="str">
        <f t="shared" si="79"/>
        <v/>
      </c>
      <c r="J860" s="23" t="str">
        <f t="shared" si="80"/>
        <v/>
      </c>
      <c r="K860" s="18" t="str">
        <f t="shared" si="81"/>
        <v/>
      </c>
      <c r="L860" s="16" t="str">
        <f t="shared" ca="1" si="82"/>
        <v/>
      </c>
      <c r="M860" s="25" t="str">
        <f>IF(H860="","",IF(I860&lt;=0,"Shipped",IF(L860&lt;=AGE30,"Fresh",IF(L860&lt;=AGE60,"Watch",IF(L860&lt;=AGE90,"Aging","Old")))))</f>
        <v/>
      </c>
      <c r="N860" s="16" t="str">
        <f t="shared" si="83"/>
        <v/>
      </c>
    </row>
    <row r="861" spans="1:14" x14ac:dyDescent="0.2">
      <c r="A861" s="32"/>
      <c r="B861" s="27"/>
      <c r="C861" s="15" t="str">
        <f>IF(B861="","",IFERROR(INDEX(Items!$B$5:$B$19,MATCH(B861,Items!$A$5:$A$19,0)),"Unknown code"))</f>
        <v/>
      </c>
      <c r="D861" s="29"/>
      <c r="E861" s="18" t="str">
        <f>IF(B861="","",IFERROR(INDEX(Items!$C$5:$C$19,MATCH(B861,Items!$A$5:$A$19,0)),""))</f>
        <v/>
      </c>
      <c r="F861" s="18" t="str">
        <f t="shared" si="78"/>
        <v/>
      </c>
      <c r="G861" s="27"/>
      <c r="H861" s="23" t="str">
        <f>IF(OR(A861="",B861="",D861=""),"",IFERROR(INDEX(Items!$D$5:$D$19,MATCH(B861,Items!$A$5:$A$19,0))+SUMIFS(D$4:D860,B$4:B860,B861),""))</f>
        <v/>
      </c>
      <c r="I861" s="23" t="str">
        <f t="shared" si="79"/>
        <v/>
      </c>
      <c r="J861" s="23" t="str">
        <f t="shared" si="80"/>
        <v/>
      </c>
      <c r="K861" s="18" t="str">
        <f t="shared" si="81"/>
        <v/>
      </c>
      <c r="L861" s="16" t="str">
        <f t="shared" ca="1" si="82"/>
        <v/>
      </c>
      <c r="M861" s="25" t="str">
        <f>IF(H861="","",IF(I861&lt;=0,"Shipped",IF(L861&lt;=AGE30,"Fresh",IF(L861&lt;=AGE60,"Watch",IF(L861&lt;=AGE90,"Aging","Old")))))</f>
        <v/>
      </c>
      <c r="N861" s="16" t="str">
        <f t="shared" si="83"/>
        <v/>
      </c>
    </row>
    <row r="862" spans="1:14" x14ac:dyDescent="0.2">
      <c r="A862" s="32"/>
      <c r="B862" s="27"/>
      <c r="C862" s="15" t="str">
        <f>IF(B862="","",IFERROR(INDEX(Items!$B$5:$B$19,MATCH(B862,Items!$A$5:$A$19,0)),"Unknown code"))</f>
        <v/>
      </c>
      <c r="D862" s="29"/>
      <c r="E862" s="18" t="str">
        <f>IF(B862="","",IFERROR(INDEX(Items!$C$5:$C$19,MATCH(B862,Items!$A$5:$A$19,0)),""))</f>
        <v/>
      </c>
      <c r="F862" s="18" t="str">
        <f t="shared" si="78"/>
        <v/>
      </c>
      <c r="G862" s="27"/>
      <c r="H862" s="23" t="str">
        <f>IF(OR(A862="",B862="",D862=""),"",IFERROR(INDEX(Items!$D$5:$D$19,MATCH(B862,Items!$A$5:$A$19,0))+SUMIFS(D$4:D861,B$4:B861,B862),""))</f>
        <v/>
      </c>
      <c r="I862" s="23" t="str">
        <f t="shared" si="79"/>
        <v/>
      </c>
      <c r="J862" s="23" t="str">
        <f t="shared" si="80"/>
        <v/>
      </c>
      <c r="K862" s="18" t="str">
        <f t="shared" si="81"/>
        <v/>
      </c>
      <c r="L862" s="16" t="str">
        <f t="shared" ca="1" si="82"/>
        <v/>
      </c>
      <c r="M862" s="25" t="str">
        <f>IF(H862="","",IF(I862&lt;=0,"Shipped",IF(L862&lt;=AGE30,"Fresh",IF(L862&lt;=AGE60,"Watch",IF(L862&lt;=AGE90,"Aging","Old")))))</f>
        <v/>
      </c>
      <c r="N862" s="16" t="str">
        <f t="shared" si="83"/>
        <v/>
      </c>
    </row>
    <row r="863" spans="1:14" x14ac:dyDescent="0.2">
      <c r="A863" s="32"/>
      <c r="B863" s="27"/>
      <c r="C863" s="15" t="str">
        <f>IF(B863="","",IFERROR(INDEX(Items!$B$5:$B$19,MATCH(B863,Items!$A$5:$A$19,0)),"Unknown code"))</f>
        <v/>
      </c>
      <c r="D863" s="29"/>
      <c r="E863" s="18" t="str">
        <f>IF(B863="","",IFERROR(INDEX(Items!$C$5:$C$19,MATCH(B863,Items!$A$5:$A$19,0)),""))</f>
        <v/>
      </c>
      <c r="F863" s="18" t="str">
        <f t="shared" si="78"/>
        <v/>
      </c>
      <c r="G863" s="27"/>
      <c r="H863" s="23" t="str">
        <f>IF(OR(A863="",B863="",D863=""),"",IFERROR(INDEX(Items!$D$5:$D$19,MATCH(B863,Items!$A$5:$A$19,0))+SUMIFS(D$4:D862,B$4:B862,B863),""))</f>
        <v/>
      </c>
      <c r="I863" s="23" t="str">
        <f t="shared" si="79"/>
        <v/>
      </c>
      <c r="J863" s="23" t="str">
        <f t="shared" si="80"/>
        <v/>
      </c>
      <c r="K863" s="18" t="str">
        <f t="shared" si="81"/>
        <v/>
      </c>
      <c r="L863" s="16" t="str">
        <f t="shared" ca="1" si="82"/>
        <v/>
      </c>
      <c r="M863" s="25" t="str">
        <f>IF(H863="","",IF(I863&lt;=0,"Shipped",IF(L863&lt;=AGE30,"Fresh",IF(L863&lt;=AGE60,"Watch",IF(L863&lt;=AGE90,"Aging","Old")))))</f>
        <v/>
      </c>
      <c r="N863" s="16" t="str">
        <f t="shared" si="83"/>
        <v/>
      </c>
    </row>
    <row r="864" spans="1:14" x14ac:dyDescent="0.2">
      <c r="A864" s="32"/>
      <c r="B864" s="27"/>
      <c r="C864" s="15" t="str">
        <f>IF(B864="","",IFERROR(INDEX(Items!$B$5:$B$19,MATCH(B864,Items!$A$5:$A$19,0)),"Unknown code"))</f>
        <v/>
      </c>
      <c r="D864" s="29"/>
      <c r="E864" s="18" t="str">
        <f>IF(B864="","",IFERROR(INDEX(Items!$C$5:$C$19,MATCH(B864,Items!$A$5:$A$19,0)),""))</f>
        <v/>
      </c>
      <c r="F864" s="18" t="str">
        <f t="shared" si="78"/>
        <v/>
      </c>
      <c r="G864" s="27"/>
      <c r="H864" s="23" t="str">
        <f>IF(OR(A864="",B864="",D864=""),"",IFERROR(INDEX(Items!$D$5:$D$19,MATCH(B864,Items!$A$5:$A$19,0))+SUMIFS(D$4:D863,B$4:B863,B864),""))</f>
        <v/>
      </c>
      <c r="I864" s="23" t="str">
        <f t="shared" si="79"/>
        <v/>
      </c>
      <c r="J864" s="23" t="str">
        <f t="shared" si="80"/>
        <v/>
      </c>
      <c r="K864" s="18" t="str">
        <f t="shared" si="81"/>
        <v/>
      </c>
      <c r="L864" s="16" t="str">
        <f t="shared" ca="1" si="82"/>
        <v/>
      </c>
      <c r="M864" s="25" t="str">
        <f>IF(H864="","",IF(I864&lt;=0,"Shipped",IF(L864&lt;=AGE30,"Fresh",IF(L864&lt;=AGE60,"Watch",IF(L864&lt;=AGE90,"Aging","Old")))))</f>
        <v/>
      </c>
      <c r="N864" s="16" t="str">
        <f t="shared" si="83"/>
        <v/>
      </c>
    </row>
    <row r="865" spans="1:14" x14ac:dyDescent="0.2">
      <c r="A865" s="32"/>
      <c r="B865" s="27"/>
      <c r="C865" s="15" t="str">
        <f>IF(B865="","",IFERROR(INDEX(Items!$B$5:$B$19,MATCH(B865,Items!$A$5:$A$19,0)),"Unknown code"))</f>
        <v/>
      </c>
      <c r="D865" s="29"/>
      <c r="E865" s="18" t="str">
        <f>IF(B865="","",IFERROR(INDEX(Items!$C$5:$C$19,MATCH(B865,Items!$A$5:$A$19,0)),""))</f>
        <v/>
      </c>
      <c r="F865" s="18" t="str">
        <f t="shared" si="78"/>
        <v/>
      </c>
      <c r="G865" s="27"/>
      <c r="H865" s="23" t="str">
        <f>IF(OR(A865="",B865="",D865=""),"",IFERROR(INDEX(Items!$D$5:$D$19,MATCH(B865,Items!$A$5:$A$19,0))+SUMIFS(D$4:D864,B$4:B864,B865),""))</f>
        <v/>
      </c>
      <c r="I865" s="23" t="str">
        <f t="shared" si="79"/>
        <v/>
      </c>
      <c r="J865" s="23" t="str">
        <f t="shared" si="80"/>
        <v/>
      </c>
      <c r="K865" s="18" t="str">
        <f t="shared" si="81"/>
        <v/>
      </c>
      <c r="L865" s="16" t="str">
        <f t="shared" ca="1" si="82"/>
        <v/>
      </c>
      <c r="M865" s="25" t="str">
        <f>IF(H865="","",IF(I865&lt;=0,"Shipped",IF(L865&lt;=AGE30,"Fresh",IF(L865&lt;=AGE60,"Watch",IF(L865&lt;=AGE90,"Aging","Old")))))</f>
        <v/>
      </c>
      <c r="N865" s="16" t="str">
        <f t="shared" si="83"/>
        <v/>
      </c>
    </row>
    <row r="866" spans="1:14" x14ac:dyDescent="0.2">
      <c r="A866" s="32"/>
      <c r="B866" s="27"/>
      <c r="C866" s="15" t="str">
        <f>IF(B866="","",IFERROR(INDEX(Items!$B$5:$B$19,MATCH(B866,Items!$A$5:$A$19,0)),"Unknown code"))</f>
        <v/>
      </c>
      <c r="D866" s="29"/>
      <c r="E866" s="18" t="str">
        <f>IF(B866="","",IFERROR(INDEX(Items!$C$5:$C$19,MATCH(B866,Items!$A$5:$A$19,0)),""))</f>
        <v/>
      </c>
      <c r="F866" s="18" t="str">
        <f t="shared" si="78"/>
        <v/>
      </c>
      <c r="G866" s="27"/>
      <c r="H866" s="23" t="str">
        <f>IF(OR(A866="",B866="",D866=""),"",IFERROR(INDEX(Items!$D$5:$D$19,MATCH(B866,Items!$A$5:$A$19,0))+SUMIFS(D$4:D865,B$4:B865,B866),""))</f>
        <v/>
      </c>
      <c r="I866" s="23" t="str">
        <f t="shared" si="79"/>
        <v/>
      </c>
      <c r="J866" s="23" t="str">
        <f t="shared" si="80"/>
        <v/>
      </c>
      <c r="K866" s="18" t="str">
        <f t="shared" si="81"/>
        <v/>
      </c>
      <c r="L866" s="16" t="str">
        <f t="shared" ca="1" si="82"/>
        <v/>
      </c>
      <c r="M866" s="25" t="str">
        <f>IF(H866="","",IF(I866&lt;=0,"Shipped",IF(L866&lt;=AGE30,"Fresh",IF(L866&lt;=AGE60,"Watch",IF(L866&lt;=AGE90,"Aging","Old")))))</f>
        <v/>
      </c>
      <c r="N866" s="16" t="str">
        <f t="shared" si="83"/>
        <v/>
      </c>
    </row>
    <row r="867" spans="1:14" x14ac:dyDescent="0.2">
      <c r="A867" s="32"/>
      <c r="B867" s="27"/>
      <c r="C867" s="15" t="str">
        <f>IF(B867="","",IFERROR(INDEX(Items!$B$5:$B$19,MATCH(B867,Items!$A$5:$A$19,0)),"Unknown code"))</f>
        <v/>
      </c>
      <c r="D867" s="29"/>
      <c r="E867" s="18" t="str">
        <f>IF(B867="","",IFERROR(INDEX(Items!$C$5:$C$19,MATCH(B867,Items!$A$5:$A$19,0)),""))</f>
        <v/>
      </c>
      <c r="F867" s="18" t="str">
        <f t="shared" si="78"/>
        <v/>
      </c>
      <c r="G867" s="27"/>
      <c r="H867" s="23" t="str">
        <f>IF(OR(A867="",B867="",D867=""),"",IFERROR(INDEX(Items!$D$5:$D$19,MATCH(B867,Items!$A$5:$A$19,0))+SUMIFS(D$4:D866,B$4:B866,B867),""))</f>
        <v/>
      </c>
      <c r="I867" s="23" t="str">
        <f t="shared" si="79"/>
        <v/>
      </c>
      <c r="J867" s="23" t="str">
        <f t="shared" si="80"/>
        <v/>
      </c>
      <c r="K867" s="18" t="str">
        <f t="shared" si="81"/>
        <v/>
      </c>
      <c r="L867" s="16" t="str">
        <f t="shared" ca="1" si="82"/>
        <v/>
      </c>
      <c r="M867" s="25" t="str">
        <f>IF(H867="","",IF(I867&lt;=0,"Shipped",IF(L867&lt;=AGE30,"Fresh",IF(L867&lt;=AGE60,"Watch",IF(L867&lt;=AGE90,"Aging","Old")))))</f>
        <v/>
      </c>
      <c r="N867" s="16" t="str">
        <f t="shared" si="83"/>
        <v/>
      </c>
    </row>
    <row r="868" spans="1:14" x14ac:dyDescent="0.2">
      <c r="A868" s="32"/>
      <c r="B868" s="27"/>
      <c r="C868" s="15" t="str">
        <f>IF(B868="","",IFERROR(INDEX(Items!$B$5:$B$19,MATCH(B868,Items!$A$5:$A$19,0)),"Unknown code"))</f>
        <v/>
      </c>
      <c r="D868" s="29"/>
      <c r="E868" s="18" t="str">
        <f>IF(B868="","",IFERROR(INDEX(Items!$C$5:$C$19,MATCH(B868,Items!$A$5:$A$19,0)),""))</f>
        <v/>
      </c>
      <c r="F868" s="18" t="str">
        <f t="shared" si="78"/>
        <v/>
      </c>
      <c r="G868" s="27"/>
      <c r="H868" s="23" t="str">
        <f>IF(OR(A868="",B868="",D868=""),"",IFERROR(INDEX(Items!$D$5:$D$19,MATCH(B868,Items!$A$5:$A$19,0))+SUMIFS(D$4:D867,B$4:B867,B868),""))</f>
        <v/>
      </c>
      <c r="I868" s="23" t="str">
        <f t="shared" si="79"/>
        <v/>
      </c>
      <c r="J868" s="23" t="str">
        <f t="shared" si="80"/>
        <v/>
      </c>
      <c r="K868" s="18" t="str">
        <f t="shared" si="81"/>
        <v/>
      </c>
      <c r="L868" s="16" t="str">
        <f t="shared" ca="1" si="82"/>
        <v/>
      </c>
      <c r="M868" s="25" t="str">
        <f>IF(H868="","",IF(I868&lt;=0,"Shipped",IF(L868&lt;=AGE30,"Fresh",IF(L868&lt;=AGE60,"Watch",IF(L868&lt;=AGE90,"Aging","Old")))))</f>
        <v/>
      </c>
      <c r="N868" s="16" t="str">
        <f t="shared" si="83"/>
        <v/>
      </c>
    </row>
    <row r="869" spans="1:14" x14ac:dyDescent="0.2">
      <c r="A869" s="32"/>
      <c r="B869" s="27"/>
      <c r="C869" s="15" t="str">
        <f>IF(B869="","",IFERROR(INDEX(Items!$B$5:$B$19,MATCH(B869,Items!$A$5:$A$19,0)),"Unknown code"))</f>
        <v/>
      </c>
      <c r="D869" s="29"/>
      <c r="E869" s="18" t="str">
        <f>IF(B869="","",IFERROR(INDEX(Items!$C$5:$C$19,MATCH(B869,Items!$A$5:$A$19,0)),""))</f>
        <v/>
      </c>
      <c r="F869" s="18" t="str">
        <f t="shared" si="78"/>
        <v/>
      </c>
      <c r="G869" s="27"/>
      <c r="H869" s="23" t="str">
        <f>IF(OR(A869="",B869="",D869=""),"",IFERROR(INDEX(Items!$D$5:$D$19,MATCH(B869,Items!$A$5:$A$19,0))+SUMIFS(D$4:D868,B$4:B868,B869),""))</f>
        <v/>
      </c>
      <c r="I869" s="23" t="str">
        <f t="shared" si="79"/>
        <v/>
      </c>
      <c r="J869" s="23" t="str">
        <f t="shared" si="80"/>
        <v/>
      </c>
      <c r="K869" s="18" t="str">
        <f t="shared" si="81"/>
        <v/>
      </c>
      <c r="L869" s="16" t="str">
        <f t="shared" ca="1" si="82"/>
        <v/>
      </c>
      <c r="M869" s="25" t="str">
        <f>IF(H869="","",IF(I869&lt;=0,"Shipped",IF(L869&lt;=AGE30,"Fresh",IF(L869&lt;=AGE60,"Watch",IF(L869&lt;=AGE90,"Aging","Old")))))</f>
        <v/>
      </c>
      <c r="N869" s="16" t="str">
        <f t="shared" si="83"/>
        <v/>
      </c>
    </row>
    <row r="870" spans="1:14" x14ac:dyDescent="0.2">
      <c r="A870" s="32"/>
      <c r="B870" s="27"/>
      <c r="C870" s="15" t="str">
        <f>IF(B870="","",IFERROR(INDEX(Items!$B$5:$B$19,MATCH(B870,Items!$A$5:$A$19,0)),"Unknown code"))</f>
        <v/>
      </c>
      <c r="D870" s="29"/>
      <c r="E870" s="18" t="str">
        <f>IF(B870="","",IFERROR(INDEX(Items!$C$5:$C$19,MATCH(B870,Items!$A$5:$A$19,0)),""))</f>
        <v/>
      </c>
      <c r="F870" s="18" t="str">
        <f t="shared" si="78"/>
        <v/>
      </c>
      <c r="G870" s="27"/>
      <c r="H870" s="23" t="str">
        <f>IF(OR(A870="",B870="",D870=""),"",IFERROR(INDEX(Items!$D$5:$D$19,MATCH(B870,Items!$A$5:$A$19,0))+SUMIFS(D$4:D869,B$4:B869,B870),""))</f>
        <v/>
      </c>
      <c r="I870" s="23" t="str">
        <f t="shared" si="79"/>
        <v/>
      </c>
      <c r="J870" s="23" t="str">
        <f t="shared" si="80"/>
        <v/>
      </c>
      <c r="K870" s="18" t="str">
        <f t="shared" si="81"/>
        <v/>
      </c>
      <c r="L870" s="16" t="str">
        <f t="shared" ca="1" si="82"/>
        <v/>
      </c>
      <c r="M870" s="25" t="str">
        <f>IF(H870="","",IF(I870&lt;=0,"Shipped",IF(L870&lt;=AGE30,"Fresh",IF(L870&lt;=AGE60,"Watch",IF(L870&lt;=AGE90,"Aging","Old")))))</f>
        <v/>
      </c>
      <c r="N870" s="16" t="str">
        <f t="shared" si="83"/>
        <v/>
      </c>
    </row>
    <row r="871" spans="1:14" x14ac:dyDescent="0.2">
      <c r="A871" s="32"/>
      <c r="B871" s="27"/>
      <c r="C871" s="15" t="str">
        <f>IF(B871="","",IFERROR(INDEX(Items!$B$5:$B$19,MATCH(B871,Items!$A$5:$A$19,0)),"Unknown code"))</f>
        <v/>
      </c>
      <c r="D871" s="29"/>
      <c r="E871" s="18" t="str">
        <f>IF(B871="","",IFERROR(INDEX(Items!$C$5:$C$19,MATCH(B871,Items!$A$5:$A$19,0)),""))</f>
        <v/>
      </c>
      <c r="F871" s="18" t="str">
        <f t="shared" si="78"/>
        <v/>
      </c>
      <c r="G871" s="27"/>
      <c r="H871" s="23" t="str">
        <f>IF(OR(A871="",B871="",D871=""),"",IFERROR(INDEX(Items!$D$5:$D$19,MATCH(B871,Items!$A$5:$A$19,0))+SUMIFS(D$4:D870,B$4:B870,B871),""))</f>
        <v/>
      </c>
      <c r="I871" s="23" t="str">
        <f t="shared" si="79"/>
        <v/>
      </c>
      <c r="J871" s="23" t="str">
        <f t="shared" si="80"/>
        <v/>
      </c>
      <c r="K871" s="18" t="str">
        <f t="shared" si="81"/>
        <v/>
      </c>
      <c r="L871" s="16" t="str">
        <f t="shared" ca="1" si="82"/>
        <v/>
      </c>
      <c r="M871" s="25" t="str">
        <f>IF(H871="","",IF(I871&lt;=0,"Shipped",IF(L871&lt;=AGE30,"Fresh",IF(L871&lt;=AGE60,"Watch",IF(L871&lt;=AGE90,"Aging","Old")))))</f>
        <v/>
      </c>
      <c r="N871" s="16" t="str">
        <f t="shared" si="83"/>
        <v/>
      </c>
    </row>
    <row r="872" spans="1:14" x14ac:dyDescent="0.2">
      <c r="A872" s="32"/>
      <c r="B872" s="27"/>
      <c r="C872" s="15" t="str">
        <f>IF(B872="","",IFERROR(INDEX(Items!$B$5:$B$19,MATCH(B872,Items!$A$5:$A$19,0)),"Unknown code"))</f>
        <v/>
      </c>
      <c r="D872" s="29"/>
      <c r="E872" s="18" t="str">
        <f>IF(B872="","",IFERROR(INDEX(Items!$C$5:$C$19,MATCH(B872,Items!$A$5:$A$19,0)),""))</f>
        <v/>
      </c>
      <c r="F872" s="18" t="str">
        <f t="shared" si="78"/>
        <v/>
      </c>
      <c r="G872" s="27"/>
      <c r="H872" s="23" t="str">
        <f>IF(OR(A872="",B872="",D872=""),"",IFERROR(INDEX(Items!$D$5:$D$19,MATCH(B872,Items!$A$5:$A$19,0))+SUMIFS(D$4:D871,B$4:B871,B872),""))</f>
        <v/>
      </c>
      <c r="I872" s="23" t="str">
        <f t="shared" si="79"/>
        <v/>
      </c>
      <c r="J872" s="23" t="str">
        <f t="shared" si="80"/>
        <v/>
      </c>
      <c r="K872" s="18" t="str">
        <f t="shared" si="81"/>
        <v/>
      </c>
      <c r="L872" s="16" t="str">
        <f t="shared" ca="1" si="82"/>
        <v/>
      </c>
      <c r="M872" s="25" t="str">
        <f>IF(H872="","",IF(I872&lt;=0,"Shipped",IF(L872&lt;=AGE30,"Fresh",IF(L872&lt;=AGE60,"Watch",IF(L872&lt;=AGE90,"Aging","Old")))))</f>
        <v/>
      </c>
      <c r="N872" s="16" t="str">
        <f t="shared" si="83"/>
        <v/>
      </c>
    </row>
    <row r="873" spans="1:14" x14ac:dyDescent="0.2">
      <c r="A873" s="32"/>
      <c r="B873" s="27"/>
      <c r="C873" s="15" t="str">
        <f>IF(B873="","",IFERROR(INDEX(Items!$B$5:$B$19,MATCH(B873,Items!$A$5:$A$19,0)),"Unknown code"))</f>
        <v/>
      </c>
      <c r="D873" s="29"/>
      <c r="E873" s="18" t="str">
        <f>IF(B873="","",IFERROR(INDEX(Items!$C$5:$C$19,MATCH(B873,Items!$A$5:$A$19,0)),""))</f>
        <v/>
      </c>
      <c r="F873" s="18" t="str">
        <f t="shared" si="78"/>
        <v/>
      </c>
      <c r="G873" s="27"/>
      <c r="H873" s="23" t="str">
        <f>IF(OR(A873="",B873="",D873=""),"",IFERROR(INDEX(Items!$D$5:$D$19,MATCH(B873,Items!$A$5:$A$19,0))+SUMIFS(D$4:D872,B$4:B872,B873),""))</f>
        <v/>
      </c>
      <c r="I873" s="23" t="str">
        <f t="shared" si="79"/>
        <v/>
      </c>
      <c r="J873" s="23" t="str">
        <f t="shared" si="80"/>
        <v/>
      </c>
      <c r="K873" s="18" t="str">
        <f t="shared" si="81"/>
        <v/>
      </c>
      <c r="L873" s="16" t="str">
        <f t="shared" ca="1" si="82"/>
        <v/>
      </c>
      <c r="M873" s="25" t="str">
        <f>IF(H873="","",IF(I873&lt;=0,"Shipped",IF(L873&lt;=AGE30,"Fresh",IF(L873&lt;=AGE60,"Watch",IF(L873&lt;=AGE90,"Aging","Old")))))</f>
        <v/>
      </c>
      <c r="N873" s="16" t="str">
        <f t="shared" si="83"/>
        <v/>
      </c>
    </row>
    <row r="874" spans="1:14" x14ac:dyDescent="0.2">
      <c r="A874" s="32"/>
      <c r="B874" s="27"/>
      <c r="C874" s="15" t="str">
        <f>IF(B874="","",IFERROR(INDEX(Items!$B$5:$B$19,MATCH(B874,Items!$A$5:$A$19,0)),"Unknown code"))</f>
        <v/>
      </c>
      <c r="D874" s="29"/>
      <c r="E874" s="18" t="str">
        <f>IF(B874="","",IFERROR(INDEX(Items!$C$5:$C$19,MATCH(B874,Items!$A$5:$A$19,0)),""))</f>
        <v/>
      </c>
      <c r="F874" s="18" t="str">
        <f t="shared" si="78"/>
        <v/>
      </c>
      <c r="G874" s="27"/>
      <c r="H874" s="23" t="str">
        <f>IF(OR(A874="",B874="",D874=""),"",IFERROR(INDEX(Items!$D$5:$D$19,MATCH(B874,Items!$A$5:$A$19,0))+SUMIFS(D$4:D873,B$4:B873,B874),""))</f>
        <v/>
      </c>
      <c r="I874" s="23" t="str">
        <f t="shared" si="79"/>
        <v/>
      </c>
      <c r="J874" s="23" t="str">
        <f t="shared" si="80"/>
        <v/>
      </c>
      <c r="K874" s="18" t="str">
        <f t="shared" si="81"/>
        <v/>
      </c>
      <c r="L874" s="16" t="str">
        <f t="shared" ca="1" si="82"/>
        <v/>
      </c>
      <c r="M874" s="25" t="str">
        <f>IF(H874="","",IF(I874&lt;=0,"Shipped",IF(L874&lt;=AGE30,"Fresh",IF(L874&lt;=AGE60,"Watch",IF(L874&lt;=AGE90,"Aging","Old")))))</f>
        <v/>
      </c>
      <c r="N874" s="16" t="str">
        <f t="shared" si="83"/>
        <v/>
      </c>
    </row>
    <row r="875" spans="1:14" x14ac:dyDescent="0.2">
      <c r="A875" s="32"/>
      <c r="B875" s="27"/>
      <c r="C875" s="15" t="str">
        <f>IF(B875="","",IFERROR(INDEX(Items!$B$5:$B$19,MATCH(B875,Items!$A$5:$A$19,0)),"Unknown code"))</f>
        <v/>
      </c>
      <c r="D875" s="29"/>
      <c r="E875" s="18" t="str">
        <f>IF(B875="","",IFERROR(INDEX(Items!$C$5:$C$19,MATCH(B875,Items!$A$5:$A$19,0)),""))</f>
        <v/>
      </c>
      <c r="F875" s="18" t="str">
        <f t="shared" si="78"/>
        <v/>
      </c>
      <c r="G875" s="27"/>
      <c r="H875" s="23" t="str">
        <f>IF(OR(A875="",B875="",D875=""),"",IFERROR(INDEX(Items!$D$5:$D$19,MATCH(B875,Items!$A$5:$A$19,0))+SUMIFS(D$4:D874,B$4:B874,B875),""))</f>
        <v/>
      </c>
      <c r="I875" s="23" t="str">
        <f t="shared" si="79"/>
        <v/>
      </c>
      <c r="J875" s="23" t="str">
        <f t="shared" si="80"/>
        <v/>
      </c>
      <c r="K875" s="18" t="str">
        <f t="shared" si="81"/>
        <v/>
      </c>
      <c r="L875" s="16" t="str">
        <f t="shared" ca="1" si="82"/>
        <v/>
      </c>
      <c r="M875" s="25" t="str">
        <f>IF(H875="","",IF(I875&lt;=0,"Shipped",IF(L875&lt;=AGE30,"Fresh",IF(L875&lt;=AGE60,"Watch",IF(L875&lt;=AGE90,"Aging","Old")))))</f>
        <v/>
      </c>
      <c r="N875" s="16" t="str">
        <f t="shared" si="83"/>
        <v/>
      </c>
    </row>
    <row r="876" spans="1:14" x14ac:dyDescent="0.2">
      <c r="A876" s="32"/>
      <c r="B876" s="27"/>
      <c r="C876" s="15" t="str">
        <f>IF(B876="","",IFERROR(INDEX(Items!$B$5:$B$19,MATCH(B876,Items!$A$5:$A$19,0)),"Unknown code"))</f>
        <v/>
      </c>
      <c r="D876" s="29"/>
      <c r="E876" s="18" t="str">
        <f>IF(B876="","",IFERROR(INDEX(Items!$C$5:$C$19,MATCH(B876,Items!$A$5:$A$19,0)),""))</f>
        <v/>
      </c>
      <c r="F876" s="18" t="str">
        <f t="shared" si="78"/>
        <v/>
      </c>
      <c r="G876" s="27"/>
      <c r="H876" s="23" t="str">
        <f>IF(OR(A876="",B876="",D876=""),"",IFERROR(INDEX(Items!$D$5:$D$19,MATCH(B876,Items!$A$5:$A$19,0))+SUMIFS(D$4:D875,B$4:B875,B876),""))</f>
        <v/>
      </c>
      <c r="I876" s="23" t="str">
        <f t="shared" si="79"/>
        <v/>
      </c>
      <c r="J876" s="23" t="str">
        <f t="shared" si="80"/>
        <v/>
      </c>
      <c r="K876" s="18" t="str">
        <f t="shared" si="81"/>
        <v/>
      </c>
      <c r="L876" s="16" t="str">
        <f t="shared" ca="1" si="82"/>
        <v/>
      </c>
      <c r="M876" s="25" t="str">
        <f>IF(H876="","",IF(I876&lt;=0,"Shipped",IF(L876&lt;=AGE30,"Fresh",IF(L876&lt;=AGE60,"Watch",IF(L876&lt;=AGE90,"Aging","Old")))))</f>
        <v/>
      </c>
      <c r="N876" s="16" t="str">
        <f t="shared" si="83"/>
        <v/>
      </c>
    </row>
    <row r="877" spans="1:14" x14ac:dyDescent="0.2">
      <c r="A877" s="32"/>
      <c r="B877" s="27"/>
      <c r="C877" s="15" t="str">
        <f>IF(B877="","",IFERROR(INDEX(Items!$B$5:$B$19,MATCH(B877,Items!$A$5:$A$19,0)),"Unknown code"))</f>
        <v/>
      </c>
      <c r="D877" s="29"/>
      <c r="E877" s="18" t="str">
        <f>IF(B877="","",IFERROR(INDEX(Items!$C$5:$C$19,MATCH(B877,Items!$A$5:$A$19,0)),""))</f>
        <v/>
      </c>
      <c r="F877" s="18" t="str">
        <f t="shared" si="78"/>
        <v/>
      </c>
      <c r="G877" s="27"/>
      <c r="H877" s="23" t="str">
        <f>IF(OR(A877="",B877="",D877=""),"",IFERROR(INDEX(Items!$D$5:$D$19,MATCH(B877,Items!$A$5:$A$19,0))+SUMIFS(D$4:D876,B$4:B876,B877),""))</f>
        <v/>
      </c>
      <c r="I877" s="23" t="str">
        <f t="shared" si="79"/>
        <v/>
      </c>
      <c r="J877" s="23" t="str">
        <f t="shared" si="80"/>
        <v/>
      </c>
      <c r="K877" s="18" t="str">
        <f t="shared" si="81"/>
        <v/>
      </c>
      <c r="L877" s="16" t="str">
        <f t="shared" ca="1" si="82"/>
        <v/>
      </c>
      <c r="M877" s="25" t="str">
        <f>IF(H877="","",IF(I877&lt;=0,"Shipped",IF(L877&lt;=AGE30,"Fresh",IF(L877&lt;=AGE60,"Watch",IF(L877&lt;=AGE90,"Aging","Old")))))</f>
        <v/>
      </c>
      <c r="N877" s="16" t="str">
        <f t="shared" si="83"/>
        <v/>
      </c>
    </row>
    <row r="878" spans="1:14" x14ac:dyDescent="0.2">
      <c r="A878" s="32"/>
      <c r="B878" s="27"/>
      <c r="C878" s="15" t="str">
        <f>IF(B878="","",IFERROR(INDEX(Items!$B$5:$B$19,MATCH(B878,Items!$A$5:$A$19,0)),"Unknown code"))</f>
        <v/>
      </c>
      <c r="D878" s="29"/>
      <c r="E878" s="18" t="str">
        <f>IF(B878="","",IFERROR(INDEX(Items!$C$5:$C$19,MATCH(B878,Items!$A$5:$A$19,0)),""))</f>
        <v/>
      </c>
      <c r="F878" s="18" t="str">
        <f t="shared" si="78"/>
        <v/>
      </c>
      <c r="G878" s="27"/>
      <c r="H878" s="23" t="str">
        <f>IF(OR(A878="",B878="",D878=""),"",IFERROR(INDEX(Items!$D$5:$D$19,MATCH(B878,Items!$A$5:$A$19,0))+SUMIFS(D$4:D877,B$4:B877,B878),""))</f>
        <v/>
      </c>
      <c r="I878" s="23" t="str">
        <f t="shared" si="79"/>
        <v/>
      </c>
      <c r="J878" s="23" t="str">
        <f t="shared" si="80"/>
        <v/>
      </c>
      <c r="K878" s="18" t="str">
        <f t="shared" si="81"/>
        <v/>
      </c>
      <c r="L878" s="16" t="str">
        <f t="shared" ca="1" si="82"/>
        <v/>
      </c>
      <c r="M878" s="25" t="str">
        <f>IF(H878="","",IF(I878&lt;=0,"Shipped",IF(L878&lt;=AGE30,"Fresh",IF(L878&lt;=AGE60,"Watch",IF(L878&lt;=AGE90,"Aging","Old")))))</f>
        <v/>
      </c>
      <c r="N878" s="16" t="str">
        <f t="shared" si="83"/>
        <v/>
      </c>
    </row>
    <row r="879" spans="1:14" x14ac:dyDescent="0.2">
      <c r="A879" s="32"/>
      <c r="B879" s="27"/>
      <c r="C879" s="15" t="str">
        <f>IF(B879="","",IFERROR(INDEX(Items!$B$5:$B$19,MATCH(B879,Items!$A$5:$A$19,0)),"Unknown code"))</f>
        <v/>
      </c>
      <c r="D879" s="29"/>
      <c r="E879" s="18" t="str">
        <f>IF(B879="","",IFERROR(INDEX(Items!$C$5:$C$19,MATCH(B879,Items!$A$5:$A$19,0)),""))</f>
        <v/>
      </c>
      <c r="F879" s="18" t="str">
        <f t="shared" si="78"/>
        <v/>
      </c>
      <c r="G879" s="27"/>
      <c r="H879" s="23" t="str">
        <f>IF(OR(A879="",B879="",D879=""),"",IFERROR(INDEX(Items!$D$5:$D$19,MATCH(B879,Items!$A$5:$A$19,0))+SUMIFS(D$4:D878,B$4:B878,B879),""))</f>
        <v/>
      </c>
      <c r="I879" s="23" t="str">
        <f t="shared" si="79"/>
        <v/>
      </c>
      <c r="J879" s="23" t="str">
        <f t="shared" si="80"/>
        <v/>
      </c>
      <c r="K879" s="18" t="str">
        <f t="shared" si="81"/>
        <v/>
      </c>
      <c r="L879" s="16" t="str">
        <f t="shared" ca="1" si="82"/>
        <v/>
      </c>
      <c r="M879" s="25" t="str">
        <f>IF(H879="","",IF(I879&lt;=0,"Shipped",IF(L879&lt;=AGE30,"Fresh",IF(L879&lt;=AGE60,"Watch",IF(L879&lt;=AGE90,"Aging","Old")))))</f>
        <v/>
      </c>
      <c r="N879" s="16" t="str">
        <f t="shared" si="83"/>
        <v/>
      </c>
    </row>
    <row r="880" spans="1:14" x14ac:dyDescent="0.2">
      <c r="A880" s="32"/>
      <c r="B880" s="27"/>
      <c r="C880" s="15" t="str">
        <f>IF(B880="","",IFERROR(INDEX(Items!$B$5:$B$19,MATCH(B880,Items!$A$5:$A$19,0)),"Unknown code"))</f>
        <v/>
      </c>
      <c r="D880" s="29"/>
      <c r="E880" s="18" t="str">
        <f>IF(B880="","",IFERROR(INDEX(Items!$C$5:$C$19,MATCH(B880,Items!$A$5:$A$19,0)),""))</f>
        <v/>
      </c>
      <c r="F880" s="18" t="str">
        <f t="shared" si="78"/>
        <v/>
      </c>
      <c r="G880" s="27"/>
      <c r="H880" s="23" t="str">
        <f>IF(OR(A880="",B880="",D880=""),"",IFERROR(INDEX(Items!$D$5:$D$19,MATCH(B880,Items!$A$5:$A$19,0))+SUMIFS(D$4:D879,B$4:B879,B880),""))</f>
        <v/>
      </c>
      <c r="I880" s="23" t="str">
        <f t="shared" si="79"/>
        <v/>
      </c>
      <c r="J880" s="23" t="str">
        <f t="shared" si="80"/>
        <v/>
      </c>
      <c r="K880" s="18" t="str">
        <f t="shared" si="81"/>
        <v/>
      </c>
      <c r="L880" s="16" t="str">
        <f t="shared" ca="1" si="82"/>
        <v/>
      </c>
      <c r="M880" s="25" t="str">
        <f>IF(H880="","",IF(I880&lt;=0,"Shipped",IF(L880&lt;=AGE30,"Fresh",IF(L880&lt;=AGE60,"Watch",IF(L880&lt;=AGE90,"Aging","Old")))))</f>
        <v/>
      </c>
      <c r="N880" s="16" t="str">
        <f t="shared" si="83"/>
        <v/>
      </c>
    </row>
    <row r="881" spans="1:14" x14ac:dyDescent="0.2">
      <c r="A881" s="32"/>
      <c r="B881" s="27"/>
      <c r="C881" s="15" t="str">
        <f>IF(B881="","",IFERROR(INDEX(Items!$B$5:$B$19,MATCH(B881,Items!$A$5:$A$19,0)),"Unknown code"))</f>
        <v/>
      </c>
      <c r="D881" s="29"/>
      <c r="E881" s="18" t="str">
        <f>IF(B881="","",IFERROR(INDEX(Items!$C$5:$C$19,MATCH(B881,Items!$A$5:$A$19,0)),""))</f>
        <v/>
      </c>
      <c r="F881" s="18" t="str">
        <f t="shared" si="78"/>
        <v/>
      </c>
      <c r="G881" s="27"/>
      <c r="H881" s="23" t="str">
        <f>IF(OR(A881="",B881="",D881=""),"",IFERROR(INDEX(Items!$D$5:$D$19,MATCH(B881,Items!$A$5:$A$19,0))+SUMIFS(D$4:D880,B$4:B880,B881),""))</f>
        <v/>
      </c>
      <c r="I881" s="23" t="str">
        <f t="shared" si="79"/>
        <v/>
      </c>
      <c r="J881" s="23" t="str">
        <f t="shared" si="80"/>
        <v/>
      </c>
      <c r="K881" s="18" t="str">
        <f t="shared" si="81"/>
        <v/>
      </c>
      <c r="L881" s="16" t="str">
        <f t="shared" ca="1" si="82"/>
        <v/>
      </c>
      <c r="M881" s="25" t="str">
        <f>IF(H881="","",IF(I881&lt;=0,"Shipped",IF(L881&lt;=AGE30,"Fresh",IF(L881&lt;=AGE60,"Watch",IF(L881&lt;=AGE90,"Aging","Old")))))</f>
        <v/>
      </c>
      <c r="N881" s="16" t="str">
        <f t="shared" si="83"/>
        <v/>
      </c>
    </row>
    <row r="882" spans="1:14" x14ac:dyDescent="0.2">
      <c r="A882" s="32"/>
      <c r="B882" s="27"/>
      <c r="C882" s="15" t="str">
        <f>IF(B882="","",IFERROR(INDEX(Items!$B$5:$B$19,MATCH(B882,Items!$A$5:$A$19,0)),"Unknown code"))</f>
        <v/>
      </c>
      <c r="D882" s="29"/>
      <c r="E882" s="18" t="str">
        <f>IF(B882="","",IFERROR(INDEX(Items!$C$5:$C$19,MATCH(B882,Items!$A$5:$A$19,0)),""))</f>
        <v/>
      </c>
      <c r="F882" s="18" t="str">
        <f t="shared" si="78"/>
        <v/>
      </c>
      <c r="G882" s="27"/>
      <c r="H882" s="23" t="str">
        <f>IF(OR(A882="",B882="",D882=""),"",IFERROR(INDEX(Items!$D$5:$D$19,MATCH(B882,Items!$A$5:$A$19,0))+SUMIFS(D$4:D881,B$4:B881,B882),""))</f>
        <v/>
      </c>
      <c r="I882" s="23" t="str">
        <f t="shared" si="79"/>
        <v/>
      </c>
      <c r="J882" s="23" t="str">
        <f t="shared" si="80"/>
        <v/>
      </c>
      <c r="K882" s="18" t="str">
        <f t="shared" si="81"/>
        <v/>
      </c>
      <c r="L882" s="16" t="str">
        <f t="shared" ca="1" si="82"/>
        <v/>
      </c>
      <c r="M882" s="25" t="str">
        <f>IF(H882="","",IF(I882&lt;=0,"Shipped",IF(L882&lt;=AGE30,"Fresh",IF(L882&lt;=AGE60,"Watch",IF(L882&lt;=AGE90,"Aging","Old")))))</f>
        <v/>
      </c>
      <c r="N882" s="16" t="str">
        <f t="shared" si="83"/>
        <v/>
      </c>
    </row>
    <row r="883" spans="1:14" x14ac:dyDescent="0.2">
      <c r="A883" s="32"/>
      <c r="B883" s="27"/>
      <c r="C883" s="15" t="str">
        <f>IF(B883="","",IFERROR(INDEX(Items!$B$5:$B$19,MATCH(B883,Items!$A$5:$A$19,0)),"Unknown code"))</f>
        <v/>
      </c>
      <c r="D883" s="29"/>
      <c r="E883" s="18" t="str">
        <f>IF(B883="","",IFERROR(INDEX(Items!$C$5:$C$19,MATCH(B883,Items!$A$5:$A$19,0)),""))</f>
        <v/>
      </c>
      <c r="F883" s="18" t="str">
        <f t="shared" si="78"/>
        <v/>
      </c>
      <c r="G883" s="27"/>
      <c r="H883" s="23" t="str">
        <f>IF(OR(A883="",B883="",D883=""),"",IFERROR(INDEX(Items!$D$5:$D$19,MATCH(B883,Items!$A$5:$A$19,0))+SUMIFS(D$4:D882,B$4:B882,B883),""))</f>
        <v/>
      </c>
      <c r="I883" s="23" t="str">
        <f t="shared" si="79"/>
        <v/>
      </c>
      <c r="J883" s="23" t="str">
        <f t="shared" si="80"/>
        <v/>
      </c>
      <c r="K883" s="18" t="str">
        <f t="shared" si="81"/>
        <v/>
      </c>
      <c r="L883" s="16" t="str">
        <f t="shared" ca="1" si="82"/>
        <v/>
      </c>
      <c r="M883" s="25" t="str">
        <f>IF(H883="","",IF(I883&lt;=0,"Shipped",IF(L883&lt;=AGE30,"Fresh",IF(L883&lt;=AGE60,"Watch",IF(L883&lt;=AGE90,"Aging","Old")))))</f>
        <v/>
      </c>
      <c r="N883" s="16" t="str">
        <f t="shared" si="83"/>
        <v/>
      </c>
    </row>
    <row r="884" spans="1:14" x14ac:dyDescent="0.2">
      <c r="A884" s="32"/>
      <c r="B884" s="27"/>
      <c r="C884" s="15" t="str">
        <f>IF(B884="","",IFERROR(INDEX(Items!$B$5:$B$19,MATCH(B884,Items!$A$5:$A$19,0)),"Unknown code"))</f>
        <v/>
      </c>
      <c r="D884" s="29"/>
      <c r="E884" s="18" t="str">
        <f>IF(B884="","",IFERROR(INDEX(Items!$C$5:$C$19,MATCH(B884,Items!$A$5:$A$19,0)),""))</f>
        <v/>
      </c>
      <c r="F884" s="18" t="str">
        <f t="shared" si="78"/>
        <v/>
      </c>
      <c r="G884" s="27"/>
      <c r="H884" s="23" t="str">
        <f>IF(OR(A884="",B884="",D884=""),"",IFERROR(INDEX(Items!$D$5:$D$19,MATCH(B884,Items!$A$5:$A$19,0))+SUMIFS(D$4:D883,B$4:B883,B884),""))</f>
        <v/>
      </c>
      <c r="I884" s="23" t="str">
        <f t="shared" si="79"/>
        <v/>
      </c>
      <c r="J884" s="23" t="str">
        <f t="shared" si="80"/>
        <v/>
      </c>
      <c r="K884" s="18" t="str">
        <f t="shared" si="81"/>
        <v/>
      </c>
      <c r="L884" s="16" t="str">
        <f t="shared" ca="1" si="82"/>
        <v/>
      </c>
      <c r="M884" s="25" t="str">
        <f>IF(H884="","",IF(I884&lt;=0,"Shipped",IF(L884&lt;=AGE30,"Fresh",IF(L884&lt;=AGE60,"Watch",IF(L884&lt;=AGE90,"Aging","Old")))))</f>
        <v/>
      </c>
      <c r="N884" s="16" t="str">
        <f t="shared" si="83"/>
        <v/>
      </c>
    </row>
    <row r="885" spans="1:14" x14ac:dyDescent="0.2">
      <c r="A885" s="32"/>
      <c r="B885" s="27"/>
      <c r="C885" s="15" t="str">
        <f>IF(B885="","",IFERROR(INDEX(Items!$B$5:$B$19,MATCH(B885,Items!$A$5:$A$19,0)),"Unknown code"))</f>
        <v/>
      </c>
      <c r="D885" s="29"/>
      <c r="E885" s="18" t="str">
        <f>IF(B885="","",IFERROR(INDEX(Items!$C$5:$C$19,MATCH(B885,Items!$A$5:$A$19,0)),""))</f>
        <v/>
      </c>
      <c r="F885" s="18" t="str">
        <f t="shared" si="78"/>
        <v/>
      </c>
      <c r="G885" s="27"/>
      <c r="H885" s="23" t="str">
        <f>IF(OR(A885="",B885="",D885=""),"",IFERROR(INDEX(Items!$D$5:$D$19,MATCH(B885,Items!$A$5:$A$19,0))+SUMIFS(D$4:D884,B$4:B884,B885),""))</f>
        <v/>
      </c>
      <c r="I885" s="23" t="str">
        <f t="shared" si="79"/>
        <v/>
      </c>
      <c r="J885" s="23" t="str">
        <f t="shared" si="80"/>
        <v/>
      </c>
      <c r="K885" s="18" t="str">
        <f t="shared" si="81"/>
        <v/>
      </c>
      <c r="L885" s="16" t="str">
        <f t="shared" ca="1" si="82"/>
        <v/>
      </c>
      <c r="M885" s="25" t="str">
        <f>IF(H885="","",IF(I885&lt;=0,"Shipped",IF(L885&lt;=AGE30,"Fresh",IF(L885&lt;=AGE60,"Watch",IF(L885&lt;=AGE90,"Aging","Old")))))</f>
        <v/>
      </c>
      <c r="N885" s="16" t="str">
        <f t="shared" si="83"/>
        <v/>
      </c>
    </row>
    <row r="886" spans="1:14" x14ac:dyDescent="0.2">
      <c r="A886" s="32"/>
      <c r="B886" s="27"/>
      <c r="C886" s="15" t="str">
        <f>IF(B886="","",IFERROR(INDEX(Items!$B$5:$B$19,MATCH(B886,Items!$A$5:$A$19,0)),"Unknown code"))</f>
        <v/>
      </c>
      <c r="D886" s="29"/>
      <c r="E886" s="18" t="str">
        <f>IF(B886="","",IFERROR(INDEX(Items!$C$5:$C$19,MATCH(B886,Items!$A$5:$A$19,0)),""))</f>
        <v/>
      </c>
      <c r="F886" s="18" t="str">
        <f t="shared" si="78"/>
        <v/>
      </c>
      <c r="G886" s="27"/>
      <c r="H886" s="23" t="str">
        <f>IF(OR(A886="",B886="",D886=""),"",IFERROR(INDEX(Items!$D$5:$D$19,MATCH(B886,Items!$A$5:$A$19,0))+SUMIFS(D$4:D885,B$4:B885,B886),""))</f>
        <v/>
      </c>
      <c r="I886" s="23" t="str">
        <f t="shared" si="79"/>
        <v/>
      </c>
      <c r="J886" s="23" t="str">
        <f t="shared" si="80"/>
        <v/>
      </c>
      <c r="K886" s="18" t="str">
        <f t="shared" si="81"/>
        <v/>
      </c>
      <c r="L886" s="16" t="str">
        <f t="shared" ca="1" si="82"/>
        <v/>
      </c>
      <c r="M886" s="25" t="str">
        <f>IF(H886="","",IF(I886&lt;=0,"Shipped",IF(L886&lt;=AGE30,"Fresh",IF(L886&lt;=AGE60,"Watch",IF(L886&lt;=AGE90,"Aging","Old")))))</f>
        <v/>
      </c>
      <c r="N886" s="16" t="str">
        <f t="shared" si="83"/>
        <v/>
      </c>
    </row>
    <row r="887" spans="1:14" x14ac:dyDescent="0.2">
      <c r="A887" s="32"/>
      <c r="B887" s="27"/>
      <c r="C887" s="15" t="str">
        <f>IF(B887="","",IFERROR(INDEX(Items!$B$5:$B$19,MATCH(B887,Items!$A$5:$A$19,0)),"Unknown code"))</f>
        <v/>
      </c>
      <c r="D887" s="29"/>
      <c r="E887" s="18" t="str">
        <f>IF(B887="","",IFERROR(INDEX(Items!$C$5:$C$19,MATCH(B887,Items!$A$5:$A$19,0)),""))</f>
        <v/>
      </c>
      <c r="F887" s="18" t="str">
        <f t="shared" si="78"/>
        <v/>
      </c>
      <c r="G887" s="27"/>
      <c r="H887" s="23" t="str">
        <f>IF(OR(A887="",B887="",D887=""),"",IFERROR(INDEX(Items!$D$5:$D$19,MATCH(B887,Items!$A$5:$A$19,0))+SUMIFS(D$4:D886,B$4:B886,B887),""))</f>
        <v/>
      </c>
      <c r="I887" s="23" t="str">
        <f t="shared" si="79"/>
        <v/>
      </c>
      <c r="J887" s="23" t="str">
        <f t="shared" si="80"/>
        <v/>
      </c>
      <c r="K887" s="18" t="str">
        <f t="shared" si="81"/>
        <v/>
      </c>
      <c r="L887" s="16" t="str">
        <f t="shared" ca="1" si="82"/>
        <v/>
      </c>
      <c r="M887" s="25" t="str">
        <f>IF(H887="","",IF(I887&lt;=0,"Shipped",IF(L887&lt;=AGE30,"Fresh",IF(L887&lt;=AGE60,"Watch",IF(L887&lt;=AGE90,"Aging","Old")))))</f>
        <v/>
      </c>
      <c r="N887" s="16" t="str">
        <f t="shared" si="83"/>
        <v/>
      </c>
    </row>
    <row r="888" spans="1:14" x14ac:dyDescent="0.2">
      <c r="A888" s="32"/>
      <c r="B888" s="27"/>
      <c r="C888" s="15" t="str">
        <f>IF(B888="","",IFERROR(INDEX(Items!$B$5:$B$19,MATCH(B888,Items!$A$5:$A$19,0)),"Unknown code"))</f>
        <v/>
      </c>
      <c r="D888" s="29"/>
      <c r="E888" s="18" t="str">
        <f>IF(B888="","",IFERROR(INDEX(Items!$C$5:$C$19,MATCH(B888,Items!$A$5:$A$19,0)),""))</f>
        <v/>
      </c>
      <c r="F888" s="18" t="str">
        <f t="shared" si="78"/>
        <v/>
      </c>
      <c r="G888" s="27"/>
      <c r="H888" s="23" t="str">
        <f>IF(OR(A888="",B888="",D888=""),"",IFERROR(INDEX(Items!$D$5:$D$19,MATCH(B888,Items!$A$5:$A$19,0))+SUMIFS(D$4:D887,B$4:B887,B888),""))</f>
        <v/>
      </c>
      <c r="I888" s="23" t="str">
        <f t="shared" si="79"/>
        <v/>
      </c>
      <c r="J888" s="23" t="str">
        <f t="shared" si="80"/>
        <v/>
      </c>
      <c r="K888" s="18" t="str">
        <f t="shared" si="81"/>
        <v/>
      </c>
      <c r="L888" s="16" t="str">
        <f t="shared" ca="1" si="82"/>
        <v/>
      </c>
      <c r="M888" s="25" t="str">
        <f>IF(H888="","",IF(I888&lt;=0,"Shipped",IF(L888&lt;=AGE30,"Fresh",IF(L888&lt;=AGE60,"Watch",IF(L888&lt;=AGE90,"Aging","Old")))))</f>
        <v/>
      </c>
      <c r="N888" s="16" t="str">
        <f t="shared" si="83"/>
        <v/>
      </c>
    </row>
    <row r="889" spans="1:14" x14ac:dyDescent="0.2">
      <c r="A889" s="32"/>
      <c r="B889" s="27"/>
      <c r="C889" s="15" t="str">
        <f>IF(B889="","",IFERROR(INDEX(Items!$B$5:$B$19,MATCH(B889,Items!$A$5:$A$19,0)),"Unknown code"))</f>
        <v/>
      </c>
      <c r="D889" s="29"/>
      <c r="E889" s="18" t="str">
        <f>IF(B889="","",IFERROR(INDEX(Items!$C$5:$C$19,MATCH(B889,Items!$A$5:$A$19,0)),""))</f>
        <v/>
      </c>
      <c r="F889" s="18" t="str">
        <f t="shared" si="78"/>
        <v/>
      </c>
      <c r="G889" s="27"/>
      <c r="H889" s="23" t="str">
        <f>IF(OR(A889="",B889="",D889=""),"",IFERROR(INDEX(Items!$D$5:$D$19,MATCH(B889,Items!$A$5:$A$19,0))+SUMIFS(D$4:D888,B$4:B888,B889),""))</f>
        <v/>
      </c>
      <c r="I889" s="23" t="str">
        <f t="shared" si="79"/>
        <v/>
      </c>
      <c r="J889" s="23" t="str">
        <f t="shared" si="80"/>
        <v/>
      </c>
      <c r="K889" s="18" t="str">
        <f t="shared" si="81"/>
        <v/>
      </c>
      <c r="L889" s="16" t="str">
        <f t="shared" ca="1" si="82"/>
        <v/>
      </c>
      <c r="M889" s="25" t="str">
        <f>IF(H889="","",IF(I889&lt;=0,"Shipped",IF(L889&lt;=AGE30,"Fresh",IF(L889&lt;=AGE60,"Watch",IF(L889&lt;=AGE90,"Aging","Old")))))</f>
        <v/>
      </c>
      <c r="N889" s="16" t="str">
        <f t="shared" si="83"/>
        <v/>
      </c>
    </row>
    <row r="890" spans="1:14" x14ac:dyDescent="0.2">
      <c r="A890" s="32"/>
      <c r="B890" s="27"/>
      <c r="C890" s="15" t="str">
        <f>IF(B890="","",IFERROR(INDEX(Items!$B$5:$B$19,MATCH(B890,Items!$A$5:$A$19,0)),"Unknown code"))</f>
        <v/>
      </c>
      <c r="D890" s="29"/>
      <c r="E890" s="18" t="str">
        <f>IF(B890="","",IFERROR(INDEX(Items!$C$5:$C$19,MATCH(B890,Items!$A$5:$A$19,0)),""))</f>
        <v/>
      </c>
      <c r="F890" s="18" t="str">
        <f t="shared" si="78"/>
        <v/>
      </c>
      <c r="G890" s="27"/>
      <c r="H890" s="23" t="str">
        <f>IF(OR(A890="",B890="",D890=""),"",IFERROR(INDEX(Items!$D$5:$D$19,MATCH(B890,Items!$A$5:$A$19,0))+SUMIFS(D$4:D889,B$4:B889,B890),""))</f>
        <v/>
      </c>
      <c r="I890" s="23" t="str">
        <f t="shared" si="79"/>
        <v/>
      </c>
      <c r="J890" s="23" t="str">
        <f t="shared" si="80"/>
        <v/>
      </c>
      <c r="K890" s="18" t="str">
        <f t="shared" si="81"/>
        <v/>
      </c>
      <c r="L890" s="16" t="str">
        <f t="shared" ca="1" si="82"/>
        <v/>
      </c>
      <c r="M890" s="25" t="str">
        <f>IF(H890="","",IF(I890&lt;=0,"Shipped",IF(L890&lt;=AGE30,"Fresh",IF(L890&lt;=AGE60,"Watch",IF(L890&lt;=AGE90,"Aging","Old")))))</f>
        <v/>
      </c>
      <c r="N890" s="16" t="str">
        <f t="shared" si="83"/>
        <v/>
      </c>
    </row>
    <row r="891" spans="1:14" x14ac:dyDescent="0.2">
      <c r="A891" s="32"/>
      <c r="B891" s="27"/>
      <c r="C891" s="15" t="str">
        <f>IF(B891="","",IFERROR(INDEX(Items!$B$5:$B$19,MATCH(B891,Items!$A$5:$A$19,0)),"Unknown code"))</f>
        <v/>
      </c>
      <c r="D891" s="29"/>
      <c r="E891" s="18" t="str">
        <f>IF(B891="","",IFERROR(INDEX(Items!$C$5:$C$19,MATCH(B891,Items!$A$5:$A$19,0)),""))</f>
        <v/>
      </c>
      <c r="F891" s="18" t="str">
        <f t="shared" si="78"/>
        <v/>
      </c>
      <c r="G891" s="27"/>
      <c r="H891" s="23" t="str">
        <f>IF(OR(A891="",B891="",D891=""),"",IFERROR(INDEX(Items!$D$5:$D$19,MATCH(B891,Items!$A$5:$A$19,0))+SUMIFS(D$4:D890,B$4:B890,B891),""))</f>
        <v/>
      </c>
      <c r="I891" s="23" t="str">
        <f t="shared" si="79"/>
        <v/>
      </c>
      <c r="J891" s="23" t="str">
        <f t="shared" si="80"/>
        <v/>
      </c>
      <c r="K891" s="18" t="str">
        <f t="shared" si="81"/>
        <v/>
      </c>
      <c r="L891" s="16" t="str">
        <f t="shared" ca="1" si="82"/>
        <v/>
      </c>
      <c r="M891" s="25" t="str">
        <f>IF(H891="","",IF(I891&lt;=0,"Shipped",IF(L891&lt;=AGE30,"Fresh",IF(L891&lt;=AGE60,"Watch",IF(L891&lt;=AGE90,"Aging","Old")))))</f>
        <v/>
      </c>
      <c r="N891" s="16" t="str">
        <f t="shared" si="83"/>
        <v/>
      </c>
    </row>
    <row r="892" spans="1:14" x14ac:dyDescent="0.2">
      <c r="A892" s="32"/>
      <c r="B892" s="27"/>
      <c r="C892" s="15" t="str">
        <f>IF(B892="","",IFERROR(INDEX(Items!$B$5:$B$19,MATCH(B892,Items!$A$5:$A$19,0)),"Unknown code"))</f>
        <v/>
      </c>
      <c r="D892" s="29"/>
      <c r="E892" s="18" t="str">
        <f>IF(B892="","",IFERROR(INDEX(Items!$C$5:$C$19,MATCH(B892,Items!$A$5:$A$19,0)),""))</f>
        <v/>
      </c>
      <c r="F892" s="18" t="str">
        <f t="shared" si="78"/>
        <v/>
      </c>
      <c r="G892" s="27"/>
      <c r="H892" s="23" t="str">
        <f>IF(OR(A892="",B892="",D892=""),"",IFERROR(INDEX(Items!$D$5:$D$19,MATCH(B892,Items!$A$5:$A$19,0))+SUMIFS(D$4:D891,B$4:B891,B892),""))</f>
        <v/>
      </c>
      <c r="I892" s="23" t="str">
        <f t="shared" si="79"/>
        <v/>
      </c>
      <c r="J892" s="23" t="str">
        <f t="shared" si="80"/>
        <v/>
      </c>
      <c r="K892" s="18" t="str">
        <f t="shared" si="81"/>
        <v/>
      </c>
      <c r="L892" s="16" t="str">
        <f t="shared" ca="1" si="82"/>
        <v/>
      </c>
      <c r="M892" s="25" t="str">
        <f>IF(H892="","",IF(I892&lt;=0,"Shipped",IF(L892&lt;=AGE30,"Fresh",IF(L892&lt;=AGE60,"Watch",IF(L892&lt;=AGE90,"Aging","Old")))))</f>
        <v/>
      </c>
      <c r="N892" s="16" t="str">
        <f t="shared" si="83"/>
        <v/>
      </c>
    </row>
    <row r="893" spans="1:14" x14ac:dyDescent="0.2">
      <c r="A893" s="32"/>
      <c r="B893" s="27"/>
      <c r="C893" s="15" t="str">
        <f>IF(B893="","",IFERROR(INDEX(Items!$B$5:$B$19,MATCH(B893,Items!$A$5:$A$19,0)),"Unknown code"))</f>
        <v/>
      </c>
      <c r="D893" s="29"/>
      <c r="E893" s="18" t="str">
        <f>IF(B893="","",IFERROR(INDEX(Items!$C$5:$C$19,MATCH(B893,Items!$A$5:$A$19,0)),""))</f>
        <v/>
      </c>
      <c r="F893" s="18" t="str">
        <f t="shared" si="78"/>
        <v/>
      </c>
      <c r="G893" s="27"/>
      <c r="H893" s="23" t="str">
        <f>IF(OR(A893="",B893="",D893=""),"",IFERROR(INDEX(Items!$D$5:$D$19,MATCH(B893,Items!$A$5:$A$19,0))+SUMIFS(D$4:D892,B$4:B892,B893),""))</f>
        <v/>
      </c>
      <c r="I893" s="23" t="str">
        <f t="shared" si="79"/>
        <v/>
      </c>
      <c r="J893" s="23" t="str">
        <f t="shared" si="80"/>
        <v/>
      </c>
      <c r="K893" s="18" t="str">
        <f t="shared" si="81"/>
        <v/>
      </c>
      <c r="L893" s="16" t="str">
        <f t="shared" ca="1" si="82"/>
        <v/>
      </c>
      <c r="M893" s="25" t="str">
        <f>IF(H893="","",IF(I893&lt;=0,"Shipped",IF(L893&lt;=AGE30,"Fresh",IF(L893&lt;=AGE60,"Watch",IF(L893&lt;=AGE90,"Aging","Old")))))</f>
        <v/>
      </c>
      <c r="N893" s="16" t="str">
        <f t="shared" si="83"/>
        <v/>
      </c>
    </row>
    <row r="894" spans="1:14" x14ac:dyDescent="0.2">
      <c r="A894" s="32"/>
      <c r="B894" s="27"/>
      <c r="C894" s="15" t="str">
        <f>IF(B894="","",IFERROR(INDEX(Items!$B$5:$B$19,MATCH(B894,Items!$A$5:$A$19,0)),"Unknown code"))</f>
        <v/>
      </c>
      <c r="D894" s="29"/>
      <c r="E894" s="18" t="str">
        <f>IF(B894="","",IFERROR(INDEX(Items!$C$5:$C$19,MATCH(B894,Items!$A$5:$A$19,0)),""))</f>
        <v/>
      </c>
      <c r="F894" s="18" t="str">
        <f t="shared" si="78"/>
        <v/>
      </c>
      <c r="G894" s="27"/>
      <c r="H894" s="23" t="str">
        <f>IF(OR(A894="",B894="",D894=""),"",IFERROR(INDEX(Items!$D$5:$D$19,MATCH(B894,Items!$A$5:$A$19,0))+SUMIFS(D$4:D893,B$4:B893,B894),""))</f>
        <v/>
      </c>
      <c r="I894" s="23" t="str">
        <f t="shared" si="79"/>
        <v/>
      </c>
      <c r="J894" s="23" t="str">
        <f t="shared" si="80"/>
        <v/>
      </c>
      <c r="K894" s="18" t="str">
        <f t="shared" si="81"/>
        <v/>
      </c>
      <c r="L894" s="16" t="str">
        <f t="shared" ca="1" si="82"/>
        <v/>
      </c>
      <c r="M894" s="25" t="str">
        <f>IF(H894="","",IF(I894&lt;=0,"Shipped",IF(L894&lt;=AGE30,"Fresh",IF(L894&lt;=AGE60,"Watch",IF(L894&lt;=AGE90,"Aging","Old")))))</f>
        <v/>
      </c>
      <c r="N894" s="16" t="str">
        <f t="shared" si="83"/>
        <v/>
      </c>
    </row>
    <row r="895" spans="1:14" x14ac:dyDescent="0.2">
      <c r="A895" s="32"/>
      <c r="B895" s="27"/>
      <c r="C895" s="15" t="str">
        <f>IF(B895="","",IFERROR(INDEX(Items!$B$5:$B$19,MATCH(B895,Items!$A$5:$A$19,0)),"Unknown code"))</f>
        <v/>
      </c>
      <c r="D895" s="29"/>
      <c r="E895" s="18" t="str">
        <f>IF(B895="","",IFERROR(INDEX(Items!$C$5:$C$19,MATCH(B895,Items!$A$5:$A$19,0)),""))</f>
        <v/>
      </c>
      <c r="F895" s="18" t="str">
        <f t="shared" si="78"/>
        <v/>
      </c>
      <c r="G895" s="27"/>
      <c r="H895" s="23" t="str">
        <f>IF(OR(A895="",B895="",D895=""),"",IFERROR(INDEX(Items!$D$5:$D$19,MATCH(B895,Items!$A$5:$A$19,0))+SUMIFS(D$4:D894,B$4:B894,B895),""))</f>
        <v/>
      </c>
      <c r="I895" s="23" t="str">
        <f t="shared" si="79"/>
        <v/>
      </c>
      <c r="J895" s="23" t="str">
        <f t="shared" si="80"/>
        <v/>
      </c>
      <c r="K895" s="18" t="str">
        <f t="shared" si="81"/>
        <v/>
      </c>
      <c r="L895" s="16" t="str">
        <f t="shared" ca="1" si="82"/>
        <v/>
      </c>
      <c r="M895" s="25" t="str">
        <f>IF(H895="","",IF(I895&lt;=0,"Shipped",IF(L895&lt;=AGE30,"Fresh",IF(L895&lt;=AGE60,"Watch",IF(L895&lt;=AGE90,"Aging","Old")))))</f>
        <v/>
      </c>
      <c r="N895" s="16" t="str">
        <f t="shared" si="83"/>
        <v/>
      </c>
    </row>
    <row r="896" spans="1:14" x14ac:dyDescent="0.2">
      <c r="A896" s="32"/>
      <c r="B896" s="27"/>
      <c r="C896" s="15" t="str">
        <f>IF(B896="","",IFERROR(INDEX(Items!$B$5:$B$19,MATCH(B896,Items!$A$5:$A$19,0)),"Unknown code"))</f>
        <v/>
      </c>
      <c r="D896" s="29"/>
      <c r="E896" s="18" t="str">
        <f>IF(B896="","",IFERROR(INDEX(Items!$C$5:$C$19,MATCH(B896,Items!$A$5:$A$19,0)),""))</f>
        <v/>
      </c>
      <c r="F896" s="18" t="str">
        <f t="shared" si="78"/>
        <v/>
      </c>
      <c r="G896" s="27"/>
      <c r="H896" s="23" t="str">
        <f>IF(OR(A896="",B896="",D896=""),"",IFERROR(INDEX(Items!$D$5:$D$19,MATCH(B896,Items!$A$5:$A$19,0))+SUMIFS(D$4:D895,B$4:B895,B896),""))</f>
        <v/>
      </c>
      <c r="I896" s="23" t="str">
        <f t="shared" si="79"/>
        <v/>
      </c>
      <c r="J896" s="23" t="str">
        <f t="shared" si="80"/>
        <v/>
      </c>
      <c r="K896" s="18" t="str">
        <f t="shared" si="81"/>
        <v/>
      </c>
      <c r="L896" s="16" t="str">
        <f t="shared" ca="1" si="82"/>
        <v/>
      </c>
      <c r="M896" s="25" t="str">
        <f>IF(H896="","",IF(I896&lt;=0,"Shipped",IF(L896&lt;=AGE30,"Fresh",IF(L896&lt;=AGE60,"Watch",IF(L896&lt;=AGE90,"Aging","Old")))))</f>
        <v/>
      </c>
      <c r="N896" s="16" t="str">
        <f t="shared" si="83"/>
        <v/>
      </c>
    </row>
    <row r="897" spans="1:14" x14ac:dyDescent="0.2">
      <c r="A897" s="32"/>
      <c r="B897" s="27"/>
      <c r="C897" s="15" t="str">
        <f>IF(B897="","",IFERROR(INDEX(Items!$B$5:$B$19,MATCH(B897,Items!$A$5:$A$19,0)),"Unknown code"))</f>
        <v/>
      </c>
      <c r="D897" s="29"/>
      <c r="E897" s="18" t="str">
        <f>IF(B897="","",IFERROR(INDEX(Items!$C$5:$C$19,MATCH(B897,Items!$A$5:$A$19,0)),""))</f>
        <v/>
      </c>
      <c r="F897" s="18" t="str">
        <f t="shared" si="78"/>
        <v/>
      </c>
      <c r="G897" s="27"/>
      <c r="H897" s="23" t="str">
        <f>IF(OR(A897="",B897="",D897=""),"",IFERROR(INDEX(Items!$D$5:$D$19,MATCH(B897,Items!$A$5:$A$19,0))+SUMIFS(D$4:D896,B$4:B896,B897),""))</f>
        <v/>
      </c>
      <c r="I897" s="23" t="str">
        <f t="shared" si="79"/>
        <v/>
      </c>
      <c r="J897" s="23" t="str">
        <f t="shared" si="80"/>
        <v/>
      </c>
      <c r="K897" s="18" t="str">
        <f t="shared" si="81"/>
        <v/>
      </c>
      <c r="L897" s="16" t="str">
        <f t="shared" ca="1" si="82"/>
        <v/>
      </c>
      <c r="M897" s="25" t="str">
        <f>IF(H897="","",IF(I897&lt;=0,"Shipped",IF(L897&lt;=AGE30,"Fresh",IF(L897&lt;=AGE60,"Watch",IF(L897&lt;=AGE90,"Aging","Old")))))</f>
        <v/>
      </c>
      <c r="N897" s="16" t="str">
        <f t="shared" si="83"/>
        <v/>
      </c>
    </row>
    <row r="898" spans="1:14" x14ac:dyDescent="0.2">
      <c r="A898" s="32"/>
      <c r="B898" s="27"/>
      <c r="C898" s="15" t="str">
        <f>IF(B898="","",IFERROR(INDEX(Items!$B$5:$B$19,MATCH(B898,Items!$A$5:$A$19,0)),"Unknown code"))</f>
        <v/>
      </c>
      <c r="D898" s="29"/>
      <c r="E898" s="18" t="str">
        <f>IF(B898="","",IFERROR(INDEX(Items!$C$5:$C$19,MATCH(B898,Items!$A$5:$A$19,0)),""))</f>
        <v/>
      </c>
      <c r="F898" s="18" t="str">
        <f t="shared" si="78"/>
        <v/>
      </c>
      <c r="G898" s="27"/>
      <c r="H898" s="23" t="str">
        <f>IF(OR(A898="",B898="",D898=""),"",IFERROR(INDEX(Items!$D$5:$D$19,MATCH(B898,Items!$A$5:$A$19,0))+SUMIFS(D$4:D897,B$4:B897,B898),""))</f>
        <v/>
      </c>
      <c r="I898" s="23" t="str">
        <f t="shared" si="79"/>
        <v/>
      </c>
      <c r="J898" s="23" t="str">
        <f t="shared" si="80"/>
        <v/>
      </c>
      <c r="K898" s="18" t="str">
        <f t="shared" si="81"/>
        <v/>
      </c>
      <c r="L898" s="16" t="str">
        <f t="shared" ca="1" si="82"/>
        <v/>
      </c>
      <c r="M898" s="25" t="str">
        <f>IF(H898="","",IF(I898&lt;=0,"Shipped",IF(L898&lt;=AGE30,"Fresh",IF(L898&lt;=AGE60,"Watch",IF(L898&lt;=AGE90,"Aging","Old")))))</f>
        <v/>
      </c>
      <c r="N898" s="16" t="str">
        <f t="shared" si="83"/>
        <v/>
      </c>
    </row>
    <row r="899" spans="1:14" x14ac:dyDescent="0.2">
      <c r="A899" s="32"/>
      <c r="B899" s="27"/>
      <c r="C899" s="15" t="str">
        <f>IF(B899="","",IFERROR(INDEX(Items!$B$5:$B$19,MATCH(B899,Items!$A$5:$A$19,0)),"Unknown code"))</f>
        <v/>
      </c>
      <c r="D899" s="29"/>
      <c r="E899" s="18" t="str">
        <f>IF(B899="","",IFERROR(INDEX(Items!$C$5:$C$19,MATCH(B899,Items!$A$5:$A$19,0)),""))</f>
        <v/>
      </c>
      <c r="F899" s="18" t="str">
        <f t="shared" si="78"/>
        <v/>
      </c>
      <c r="G899" s="27"/>
      <c r="H899" s="23" t="str">
        <f>IF(OR(A899="",B899="",D899=""),"",IFERROR(INDEX(Items!$D$5:$D$19,MATCH(B899,Items!$A$5:$A$19,0))+SUMIFS(D$4:D898,B$4:B898,B899),""))</f>
        <v/>
      </c>
      <c r="I899" s="23" t="str">
        <f t="shared" si="79"/>
        <v/>
      </c>
      <c r="J899" s="23" t="str">
        <f t="shared" si="80"/>
        <v/>
      </c>
      <c r="K899" s="18" t="str">
        <f t="shared" si="81"/>
        <v/>
      </c>
      <c r="L899" s="16" t="str">
        <f t="shared" ca="1" si="82"/>
        <v/>
      </c>
      <c r="M899" s="25" t="str">
        <f>IF(H899="","",IF(I899&lt;=0,"Shipped",IF(L899&lt;=AGE30,"Fresh",IF(L899&lt;=AGE60,"Watch",IF(L899&lt;=AGE90,"Aging","Old")))))</f>
        <v/>
      </c>
      <c r="N899" s="16" t="str">
        <f t="shared" si="83"/>
        <v/>
      </c>
    </row>
    <row r="900" spans="1:14" x14ac:dyDescent="0.2">
      <c r="A900" s="32"/>
      <c r="B900" s="27"/>
      <c r="C900" s="15" t="str">
        <f>IF(B900="","",IFERROR(INDEX(Items!$B$5:$B$19,MATCH(B900,Items!$A$5:$A$19,0)),"Unknown code"))</f>
        <v/>
      </c>
      <c r="D900" s="29"/>
      <c r="E900" s="18" t="str">
        <f>IF(B900="","",IFERROR(INDEX(Items!$C$5:$C$19,MATCH(B900,Items!$A$5:$A$19,0)),""))</f>
        <v/>
      </c>
      <c r="F900" s="18" t="str">
        <f t="shared" si="78"/>
        <v/>
      </c>
      <c r="G900" s="27"/>
      <c r="H900" s="23" t="str">
        <f>IF(OR(A900="",B900="",D900=""),"",IFERROR(INDEX(Items!$D$5:$D$19,MATCH(B900,Items!$A$5:$A$19,0))+SUMIFS(D$4:D899,B$4:B899,B900),""))</f>
        <v/>
      </c>
      <c r="I900" s="23" t="str">
        <f t="shared" si="79"/>
        <v/>
      </c>
      <c r="J900" s="23" t="str">
        <f t="shared" si="80"/>
        <v/>
      </c>
      <c r="K900" s="18" t="str">
        <f t="shared" si="81"/>
        <v/>
      </c>
      <c r="L900" s="16" t="str">
        <f t="shared" ca="1" si="82"/>
        <v/>
      </c>
      <c r="M900" s="25" t="str">
        <f>IF(H900="","",IF(I900&lt;=0,"Shipped",IF(L900&lt;=AGE30,"Fresh",IF(L900&lt;=AGE60,"Watch",IF(L900&lt;=AGE90,"Aging","Old")))))</f>
        <v/>
      </c>
      <c r="N900" s="16" t="str">
        <f t="shared" si="83"/>
        <v/>
      </c>
    </row>
    <row r="901" spans="1:14" x14ac:dyDescent="0.2">
      <c r="A901" s="32"/>
      <c r="B901" s="27"/>
      <c r="C901" s="15" t="str">
        <f>IF(B901="","",IFERROR(INDEX(Items!$B$5:$B$19,MATCH(B901,Items!$A$5:$A$19,0)),"Unknown code"))</f>
        <v/>
      </c>
      <c r="D901" s="29"/>
      <c r="E901" s="18" t="str">
        <f>IF(B901="","",IFERROR(INDEX(Items!$C$5:$C$19,MATCH(B901,Items!$A$5:$A$19,0)),""))</f>
        <v/>
      </c>
      <c r="F901" s="18" t="str">
        <f t="shared" ref="F901:F964" si="84">IF(OR(D901="",E901=""),"",D901*E901)</f>
        <v/>
      </c>
      <c r="G901" s="27"/>
      <c r="H901" s="23" t="str">
        <f>IF(OR(A901="",B901="",D901=""),"",IFERROR(INDEX(Items!$D$5:$D$19,MATCH(B901,Items!$A$5:$A$19,0))+SUMIFS(D$4:D900,B$4:B900,B901),""))</f>
        <v/>
      </c>
      <c r="I901" s="23" t="str">
        <f t="shared" ref="I901:I964" si="85">IF(H901="","",MAX(0,MIN(D901,H901+D901-TotalShipped)))</f>
        <v/>
      </c>
      <c r="J901" s="23" t="str">
        <f t="shared" ref="J901:J964" si="86">IF(H901="","",D901-I901)</f>
        <v/>
      </c>
      <c r="K901" s="18" t="str">
        <f t="shared" ref="K901:K964" si="87">IF(OR(H901="",E901=""),"",I901*E901)</f>
        <v/>
      </c>
      <c r="L901" s="16" t="str">
        <f t="shared" ref="L901:L964" ca="1" si="88">IF(H901="","",IF(I901&gt;0,TODAY()-A901,""))</f>
        <v/>
      </c>
      <c r="M901" s="25" t="str">
        <f>IF(H901="","",IF(I901&lt;=0,"Shipped",IF(L901&lt;=AGE30,"Fresh",IF(L901&lt;=AGE60,"Watch",IF(L901&lt;=AGE90,"Aging","Old")))))</f>
        <v/>
      </c>
      <c r="N901" s="16" t="str">
        <f t="shared" ref="N901:N964" si="89">IF(H901="","",J901*A901)</f>
        <v/>
      </c>
    </row>
    <row r="902" spans="1:14" x14ac:dyDescent="0.2">
      <c r="A902" s="32"/>
      <c r="B902" s="27"/>
      <c r="C902" s="15" t="str">
        <f>IF(B902="","",IFERROR(INDEX(Items!$B$5:$B$19,MATCH(B902,Items!$A$5:$A$19,0)),"Unknown code"))</f>
        <v/>
      </c>
      <c r="D902" s="29"/>
      <c r="E902" s="18" t="str">
        <f>IF(B902="","",IFERROR(INDEX(Items!$C$5:$C$19,MATCH(B902,Items!$A$5:$A$19,0)),""))</f>
        <v/>
      </c>
      <c r="F902" s="18" t="str">
        <f t="shared" si="84"/>
        <v/>
      </c>
      <c r="G902" s="27"/>
      <c r="H902" s="23" t="str">
        <f>IF(OR(A902="",B902="",D902=""),"",IFERROR(INDEX(Items!$D$5:$D$19,MATCH(B902,Items!$A$5:$A$19,0))+SUMIFS(D$4:D901,B$4:B901,B902),""))</f>
        <v/>
      </c>
      <c r="I902" s="23" t="str">
        <f t="shared" si="85"/>
        <v/>
      </c>
      <c r="J902" s="23" t="str">
        <f t="shared" si="86"/>
        <v/>
      </c>
      <c r="K902" s="18" t="str">
        <f t="shared" si="87"/>
        <v/>
      </c>
      <c r="L902" s="16" t="str">
        <f t="shared" ca="1" si="88"/>
        <v/>
      </c>
      <c r="M902" s="25" t="str">
        <f>IF(H902="","",IF(I902&lt;=0,"Shipped",IF(L902&lt;=AGE30,"Fresh",IF(L902&lt;=AGE60,"Watch",IF(L902&lt;=AGE90,"Aging","Old")))))</f>
        <v/>
      </c>
      <c r="N902" s="16" t="str">
        <f t="shared" si="89"/>
        <v/>
      </c>
    </row>
    <row r="903" spans="1:14" x14ac:dyDescent="0.2">
      <c r="A903" s="32"/>
      <c r="B903" s="27"/>
      <c r="C903" s="15" t="str">
        <f>IF(B903="","",IFERROR(INDEX(Items!$B$5:$B$19,MATCH(B903,Items!$A$5:$A$19,0)),"Unknown code"))</f>
        <v/>
      </c>
      <c r="D903" s="29"/>
      <c r="E903" s="18" t="str">
        <f>IF(B903="","",IFERROR(INDEX(Items!$C$5:$C$19,MATCH(B903,Items!$A$5:$A$19,0)),""))</f>
        <v/>
      </c>
      <c r="F903" s="18" t="str">
        <f t="shared" si="84"/>
        <v/>
      </c>
      <c r="G903" s="27"/>
      <c r="H903" s="23" t="str">
        <f>IF(OR(A903="",B903="",D903=""),"",IFERROR(INDEX(Items!$D$5:$D$19,MATCH(B903,Items!$A$5:$A$19,0))+SUMIFS(D$4:D902,B$4:B902,B903),""))</f>
        <v/>
      </c>
      <c r="I903" s="23" t="str">
        <f t="shared" si="85"/>
        <v/>
      </c>
      <c r="J903" s="23" t="str">
        <f t="shared" si="86"/>
        <v/>
      </c>
      <c r="K903" s="18" t="str">
        <f t="shared" si="87"/>
        <v/>
      </c>
      <c r="L903" s="16" t="str">
        <f t="shared" ca="1" si="88"/>
        <v/>
      </c>
      <c r="M903" s="25" t="str">
        <f>IF(H903="","",IF(I903&lt;=0,"Shipped",IF(L903&lt;=AGE30,"Fresh",IF(L903&lt;=AGE60,"Watch",IF(L903&lt;=AGE90,"Aging","Old")))))</f>
        <v/>
      </c>
      <c r="N903" s="16" t="str">
        <f t="shared" si="89"/>
        <v/>
      </c>
    </row>
    <row r="904" spans="1:14" x14ac:dyDescent="0.2">
      <c r="A904" s="32"/>
      <c r="B904" s="27"/>
      <c r="C904" s="15" t="str">
        <f>IF(B904="","",IFERROR(INDEX(Items!$B$5:$B$19,MATCH(B904,Items!$A$5:$A$19,0)),"Unknown code"))</f>
        <v/>
      </c>
      <c r="D904" s="29"/>
      <c r="E904" s="18" t="str">
        <f>IF(B904="","",IFERROR(INDEX(Items!$C$5:$C$19,MATCH(B904,Items!$A$5:$A$19,0)),""))</f>
        <v/>
      </c>
      <c r="F904" s="18" t="str">
        <f t="shared" si="84"/>
        <v/>
      </c>
      <c r="G904" s="27"/>
      <c r="H904" s="23" t="str">
        <f>IF(OR(A904="",B904="",D904=""),"",IFERROR(INDEX(Items!$D$5:$D$19,MATCH(B904,Items!$A$5:$A$19,0))+SUMIFS(D$4:D903,B$4:B903,B904),""))</f>
        <v/>
      </c>
      <c r="I904" s="23" t="str">
        <f t="shared" si="85"/>
        <v/>
      </c>
      <c r="J904" s="23" t="str">
        <f t="shared" si="86"/>
        <v/>
      </c>
      <c r="K904" s="18" t="str">
        <f t="shared" si="87"/>
        <v/>
      </c>
      <c r="L904" s="16" t="str">
        <f t="shared" ca="1" si="88"/>
        <v/>
      </c>
      <c r="M904" s="25" t="str">
        <f>IF(H904="","",IF(I904&lt;=0,"Shipped",IF(L904&lt;=AGE30,"Fresh",IF(L904&lt;=AGE60,"Watch",IF(L904&lt;=AGE90,"Aging","Old")))))</f>
        <v/>
      </c>
      <c r="N904" s="16" t="str">
        <f t="shared" si="89"/>
        <v/>
      </c>
    </row>
    <row r="905" spans="1:14" x14ac:dyDescent="0.2">
      <c r="A905" s="32"/>
      <c r="B905" s="27"/>
      <c r="C905" s="15" t="str">
        <f>IF(B905="","",IFERROR(INDEX(Items!$B$5:$B$19,MATCH(B905,Items!$A$5:$A$19,0)),"Unknown code"))</f>
        <v/>
      </c>
      <c r="D905" s="29"/>
      <c r="E905" s="18" t="str">
        <f>IF(B905="","",IFERROR(INDEX(Items!$C$5:$C$19,MATCH(B905,Items!$A$5:$A$19,0)),""))</f>
        <v/>
      </c>
      <c r="F905" s="18" t="str">
        <f t="shared" si="84"/>
        <v/>
      </c>
      <c r="G905" s="27"/>
      <c r="H905" s="23" t="str">
        <f>IF(OR(A905="",B905="",D905=""),"",IFERROR(INDEX(Items!$D$5:$D$19,MATCH(B905,Items!$A$5:$A$19,0))+SUMIFS(D$4:D904,B$4:B904,B905),""))</f>
        <v/>
      </c>
      <c r="I905" s="23" t="str">
        <f t="shared" si="85"/>
        <v/>
      </c>
      <c r="J905" s="23" t="str">
        <f t="shared" si="86"/>
        <v/>
      </c>
      <c r="K905" s="18" t="str">
        <f t="shared" si="87"/>
        <v/>
      </c>
      <c r="L905" s="16" t="str">
        <f t="shared" ca="1" si="88"/>
        <v/>
      </c>
      <c r="M905" s="25" t="str">
        <f>IF(H905="","",IF(I905&lt;=0,"Shipped",IF(L905&lt;=AGE30,"Fresh",IF(L905&lt;=AGE60,"Watch",IF(L905&lt;=AGE90,"Aging","Old")))))</f>
        <v/>
      </c>
      <c r="N905" s="16" t="str">
        <f t="shared" si="89"/>
        <v/>
      </c>
    </row>
    <row r="906" spans="1:14" x14ac:dyDescent="0.2">
      <c r="A906" s="32"/>
      <c r="B906" s="27"/>
      <c r="C906" s="15" t="str">
        <f>IF(B906="","",IFERROR(INDEX(Items!$B$5:$B$19,MATCH(B906,Items!$A$5:$A$19,0)),"Unknown code"))</f>
        <v/>
      </c>
      <c r="D906" s="29"/>
      <c r="E906" s="18" t="str">
        <f>IF(B906="","",IFERROR(INDEX(Items!$C$5:$C$19,MATCH(B906,Items!$A$5:$A$19,0)),""))</f>
        <v/>
      </c>
      <c r="F906" s="18" t="str">
        <f t="shared" si="84"/>
        <v/>
      </c>
      <c r="G906" s="27"/>
      <c r="H906" s="23" t="str">
        <f>IF(OR(A906="",B906="",D906=""),"",IFERROR(INDEX(Items!$D$5:$D$19,MATCH(B906,Items!$A$5:$A$19,0))+SUMIFS(D$4:D905,B$4:B905,B906),""))</f>
        <v/>
      </c>
      <c r="I906" s="23" t="str">
        <f t="shared" si="85"/>
        <v/>
      </c>
      <c r="J906" s="23" t="str">
        <f t="shared" si="86"/>
        <v/>
      </c>
      <c r="K906" s="18" t="str">
        <f t="shared" si="87"/>
        <v/>
      </c>
      <c r="L906" s="16" t="str">
        <f t="shared" ca="1" si="88"/>
        <v/>
      </c>
      <c r="M906" s="25" t="str">
        <f>IF(H906="","",IF(I906&lt;=0,"Shipped",IF(L906&lt;=AGE30,"Fresh",IF(L906&lt;=AGE60,"Watch",IF(L906&lt;=AGE90,"Aging","Old")))))</f>
        <v/>
      </c>
      <c r="N906" s="16" t="str">
        <f t="shared" si="89"/>
        <v/>
      </c>
    </row>
    <row r="907" spans="1:14" x14ac:dyDescent="0.2">
      <c r="A907" s="32"/>
      <c r="B907" s="27"/>
      <c r="C907" s="15" t="str">
        <f>IF(B907="","",IFERROR(INDEX(Items!$B$5:$B$19,MATCH(B907,Items!$A$5:$A$19,0)),"Unknown code"))</f>
        <v/>
      </c>
      <c r="D907" s="29"/>
      <c r="E907" s="18" t="str">
        <f>IF(B907="","",IFERROR(INDEX(Items!$C$5:$C$19,MATCH(B907,Items!$A$5:$A$19,0)),""))</f>
        <v/>
      </c>
      <c r="F907" s="18" t="str">
        <f t="shared" si="84"/>
        <v/>
      </c>
      <c r="G907" s="27"/>
      <c r="H907" s="23" t="str">
        <f>IF(OR(A907="",B907="",D907=""),"",IFERROR(INDEX(Items!$D$5:$D$19,MATCH(B907,Items!$A$5:$A$19,0))+SUMIFS(D$4:D906,B$4:B906,B907),""))</f>
        <v/>
      </c>
      <c r="I907" s="23" t="str">
        <f t="shared" si="85"/>
        <v/>
      </c>
      <c r="J907" s="23" t="str">
        <f t="shared" si="86"/>
        <v/>
      </c>
      <c r="K907" s="18" t="str">
        <f t="shared" si="87"/>
        <v/>
      </c>
      <c r="L907" s="16" t="str">
        <f t="shared" ca="1" si="88"/>
        <v/>
      </c>
      <c r="M907" s="25" t="str">
        <f>IF(H907="","",IF(I907&lt;=0,"Shipped",IF(L907&lt;=AGE30,"Fresh",IF(L907&lt;=AGE60,"Watch",IF(L907&lt;=AGE90,"Aging","Old")))))</f>
        <v/>
      </c>
      <c r="N907" s="16" t="str">
        <f t="shared" si="89"/>
        <v/>
      </c>
    </row>
    <row r="908" spans="1:14" x14ac:dyDescent="0.2">
      <c r="A908" s="32"/>
      <c r="B908" s="27"/>
      <c r="C908" s="15" t="str">
        <f>IF(B908="","",IFERROR(INDEX(Items!$B$5:$B$19,MATCH(B908,Items!$A$5:$A$19,0)),"Unknown code"))</f>
        <v/>
      </c>
      <c r="D908" s="29"/>
      <c r="E908" s="18" t="str">
        <f>IF(B908="","",IFERROR(INDEX(Items!$C$5:$C$19,MATCH(B908,Items!$A$5:$A$19,0)),""))</f>
        <v/>
      </c>
      <c r="F908" s="18" t="str">
        <f t="shared" si="84"/>
        <v/>
      </c>
      <c r="G908" s="27"/>
      <c r="H908" s="23" t="str">
        <f>IF(OR(A908="",B908="",D908=""),"",IFERROR(INDEX(Items!$D$5:$D$19,MATCH(B908,Items!$A$5:$A$19,0))+SUMIFS(D$4:D907,B$4:B907,B908),""))</f>
        <v/>
      </c>
      <c r="I908" s="23" t="str">
        <f t="shared" si="85"/>
        <v/>
      </c>
      <c r="J908" s="23" t="str">
        <f t="shared" si="86"/>
        <v/>
      </c>
      <c r="K908" s="18" t="str">
        <f t="shared" si="87"/>
        <v/>
      </c>
      <c r="L908" s="16" t="str">
        <f t="shared" ca="1" si="88"/>
        <v/>
      </c>
      <c r="M908" s="25" t="str">
        <f>IF(H908="","",IF(I908&lt;=0,"Shipped",IF(L908&lt;=AGE30,"Fresh",IF(L908&lt;=AGE60,"Watch",IF(L908&lt;=AGE90,"Aging","Old")))))</f>
        <v/>
      </c>
      <c r="N908" s="16" t="str">
        <f t="shared" si="89"/>
        <v/>
      </c>
    </row>
    <row r="909" spans="1:14" x14ac:dyDescent="0.2">
      <c r="A909" s="32"/>
      <c r="B909" s="27"/>
      <c r="C909" s="15" t="str">
        <f>IF(B909="","",IFERROR(INDEX(Items!$B$5:$B$19,MATCH(B909,Items!$A$5:$A$19,0)),"Unknown code"))</f>
        <v/>
      </c>
      <c r="D909" s="29"/>
      <c r="E909" s="18" t="str">
        <f>IF(B909="","",IFERROR(INDEX(Items!$C$5:$C$19,MATCH(B909,Items!$A$5:$A$19,0)),""))</f>
        <v/>
      </c>
      <c r="F909" s="18" t="str">
        <f t="shared" si="84"/>
        <v/>
      </c>
      <c r="G909" s="27"/>
      <c r="H909" s="23" t="str">
        <f>IF(OR(A909="",B909="",D909=""),"",IFERROR(INDEX(Items!$D$5:$D$19,MATCH(B909,Items!$A$5:$A$19,0))+SUMIFS(D$4:D908,B$4:B908,B909),""))</f>
        <v/>
      </c>
      <c r="I909" s="23" t="str">
        <f t="shared" si="85"/>
        <v/>
      </c>
      <c r="J909" s="23" t="str">
        <f t="shared" si="86"/>
        <v/>
      </c>
      <c r="K909" s="18" t="str">
        <f t="shared" si="87"/>
        <v/>
      </c>
      <c r="L909" s="16" t="str">
        <f t="shared" ca="1" si="88"/>
        <v/>
      </c>
      <c r="M909" s="25" t="str">
        <f>IF(H909="","",IF(I909&lt;=0,"Shipped",IF(L909&lt;=AGE30,"Fresh",IF(L909&lt;=AGE60,"Watch",IF(L909&lt;=AGE90,"Aging","Old")))))</f>
        <v/>
      </c>
      <c r="N909" s="16" t="str">
        <f t="shared" si="89"/>
        <v/>
      </c>
    </row>
    <row r="910" spans="1:14" x14ac:dyDescent="0.2">
      <c r="A910" s="32"/>
      <c r="B910" s="27"/>
      <c r="C910" s="15" t="str">
        <f>IF(B910="","",IFERROR(INDEX(Items!$B$5:$B$19,MATCH(B910,Items!$A$5:$A$19,0)),"Unknown code"))</f>
        <v/>
      </c>
      <c r="D910" s="29"/>
      <c r="E910" s="18" t="str">
        <f>IF(B910="","",IFERROR(INDEX(Items!$C$5:$C$19,MATCH(B910,Items!$A$5:$A$19,0)),""))</f>
        <v/>
      </c>
      <c r="F910" s="18" t="str">
        <f t="shared" si="84"/>
        <v/>
      </c>
      <c r="G910" s="27"/>
      <c r="H910" s="23" t="str">
        <f>IF(OR(A910="",B910="",D910=""),"",IFERROR(INDEX(Items!$D$5:$D$19,MATCH(B910,Items!$A$5:$A$19,0))+SUMIFS(D$4:D909,B$4:B909,B910),""))</f>
        <v/>
      </c>
      <c r="I910" s="23" t="str">
        <f t="shared" si="85"/>
        <v/>
      </c>
      <c r="J910" s="23" t="str">
        <f t="shared" si="86"/>
        <v/>
      </c>
      <c r="K910" s="18" t="str">
        <f t="shared" si="87"/>
        <v/>
      </c>
      <c r="L910" s="16" t="str">
        <f t="shared" ca="1" si="88"/>
        <v/>
      </c>
      <c r="M910" s="25" t="str">
        <f>IF(H910="","",IF(I910&lt;=0,"Shipped",IF(L910&lt;=AGE30,"Fresh",IF(L910&lt;=AGE60,"Watch",IF(L910&lt;=AGE90,"Aging","Old")))))</f>
        <v/>
      </c>
      <c r="N910" s="16" t="str">
        <f t="shared" si="89"/>
        <v/>
      </c>
    </row>
    <row r="911" spans="1:14" x14ac:dyDescent="0.2">
      <c r="A911" s="32"/>
      <c r="B911" s="27"/>
      <c r="C911" s="15" t="str">
        <f>IF(B911="","",IFERROR(INDEX(Items!$B$5:$B$19,MATCH(B911,Items!$A$5:$A$19,0)),"Unknown code"))</f>
        <v/>
      </c>
      <c r="D911" s="29"/>
      <c r="E911" s="18" t="str">
        <f>IF(B911="","",IFERROR(INDEX(Items!$C$5:$C$19,MATCH(B911,Items!$A$5:$A$19,0)),""))</f>
        <v/>
      </c>
      <c r="F911" s="18" t="str">
        <f t="shared" si="84"/>
        <v/>
      </c>
      <c r="G911" s="27"/>
      <c r="H911" s="23" t="str">
        <f>IF(OR(A911="",B911="",D911=""),"",IFERROR(INDEX(Items!$D$5:$D$19,MATCH(B911,Items!$A$5:$A$19,0))+SUMIFS(D$4:D910,B$4:B910,B911),""))</f>
        <v/>
      </c>
      <c r="I911" s="23" t="str">
        <f t="shared" si="85"/>
        <v/>
      </c>
      <c r="J911" s="23" t="str">
        <f t="shared" si="86"/>
        <v/>
      </c>
      <c r="K911" s="18" t="str">
        <f t="shared" si="87"/>
        <v/>
      </c>
      <c r="L911" s="16" t="str">
        <f t="shared" ca="1" si="88"/>
        <v/>
      </c>
      <c r="M911" s="25" t="str">
        <f>IF(H911="","",IF(I911&lt;=0,"Shipped",IF(L911&lt;=AGE30,"Fresh",IF(L911&lt;=AGE60,"Watch",IF(L911&lt;=AGE90,"Aging","Old")))))</f>
        <v/>
      </c>
      <c r="N911" s="16" t="str">
        <f t="shared" si="89"/>
        <v/>
      </c>
    </row>
    <row r="912" spans="1:14" x14ac:dyDescent="0.2">
      <c r="A912" s="32"/>
      <c r="B912" s="27"/>
      <c r="C912" s="15" t="str">
        <f>IF(B912="","",IFERROR(INDEX(Items!$B$5:$B$19,MATCH(B912,Items!$A$5:$A$19,0)),"Unknown code"))</f>
        <v/>
      </c>
      <c r="D912" s="29"/>
      <c r="E912" s="18" t="str">
        <f>IF(B912="","",IFERROR(INDEX(Items!$C$5:$C$19,MATCH(B912,Items!$A$5:$A$19,0)),""))</f>
        <v/>
      </c>
      <c r="F912" s="18" t="str">
        <f t="shared" si="84"/>
        <v/>
      </c>
      <c r="G912" s="27"/>
      <c r="H912" s="23" t="str">
        <f>IF(OR(A912="",B912="",D912=""),"",IFERROR(INDEX(Items!$D$5:$D$19,MATCH(B912,Items!$A$5:$A$19,0))+SUMIFS(D$4:D911,B$4:B911,B912),""))</f>
        <v/>
      </c>
      <c r="I912" s="23" t="str">
        <f t="shared" si="85"/>
        <v/>
      </c>
      <c r="J912" s="23" t="str">
        <f t="shared" si="86"/>
        <v/>
      </c>
      <c r="K912" s="18" t="str">
        <f t="shared" si="87"/>
        <v/>
      </c>
      <c r="L912" s="16" t="str">
        <f t="shared" ca="1" si="88"/>
        <v/>
      </c>
      <c r="M912" s="25" t="str">
        <f>IF(H912="","",IF(I912&lt;=0,"Shipped",IF(L912&lt;=AGE30,"Fresh",IF(L912&lt;=AGE60,"Watch",IF(L912&lt;=AGE90,"Aging","Old")))))</f>
        <v/>
      </c>
      <c r="N912" s="16" t="str">
        <f t="shared" si="89"/>
        <v/>
      </c>
    </row>
    <row r="913" spans="1:14" x14ac:dyDescent="0.2">
      <c r="A913" s="32"/>
      <c r="B913" s="27"/>
      <c r="C913" s="15" t="str">
        <f>IF(B913="","",IFERROR(INDEX(Items!$B$5:$B$19,MATCH(B913,Items!$A$5:$A$19,0)),"Unknown code"))</f>
        <v/>
      </c>
      <c r="D913" s="29"/>
      <c r="E913" s="18" t="str">
        <f>IF(B913="","",IFERROR(INDEX(Items!$C$5:$C$19,MATCH(B913,Items!$A$5:$A$19,0)),""))</f>
        <v/>
      </c>
      <c r="F913" s="18" t="str">
        <f t="shared" si="84"/>
        <v/>
      </c>
      <c r="G913" s="27"/>
      <c r="H913" s="23" t="str">
        <f>IF(OR(A913="",B913="",D913=""),"",IFERROR(INDEX(Items!$D$5:$D$19,MATCH(B913,Items!$A$5:$A$19,0))+SUMIFS(D$4:D912,B$4:B912,B913),""))</f>
        <v/>
      </c>
      <c r="I913" s="23" t="str">
        <f t="shared" si="85"/>
        <v/>
      </c>
      <c r="J913" s="23" t="str">
        <f t="shared" si="86"/>
        <v/>
      </c>
      <c r="K913" s="18" t="str">
        <f t="shared" si="87"/>
        <v/>
      </c>
      <c r="L913" s="16" t="str">
        <f t="shared" ca="1" si="88"/>
        <v/>
      </c>
      <c r="M913" s="25" t="str">
        <f>IF(H913="","",IF(I913&lt;=0,"Shipped",IF(L913&lt;=AGE30,"Fresh",IF(L913&lt;=AGE60,"Watch",IF(L913&lt;=AGE90,"Aging","Old")))))</f>
        <v/>
      </c>
      <c r="N913" s="16" t="str">
        <f t="shared" si="89"/>
        <v/>
      </c>
    </row>
    <row r="914" spans="1:14" x14ac:dyDescent="0.2">
      <c r="A914" s="32"/>
      <c r="B914" s="27"/>
      <c r="C914" s="15" t="str">
        <f>IF(B914="","",IFERROR(INDEX(Items!$B$5:$B$19,MATCH(B914,Items!$A$5:$A$19,0)),"Unknown code"))</f>
        <v/>
      </c>
      <c r="D914" s="29"/>
      <c r="E914" s="18" t="str">
        <f>IF(B914="","",IFERROR(INDEX(Items!$C$5:$C$19,MATCH(B914,Items!$A$5:$A$19,0)),""))</f>
        <v/>
      </c>
      <c r="F914" s="18" t="str">
        <f t="shared" si="84"/>
        <v/>
      </c>
      <c r="G914" s="27"/>
      <c r="H914" s="23" t="str">
        <f>IF(OR(A914="",B914="",D914=""),"",IFERROR(INDEX(Items!$D$5:$D$19,MATCH(B914,Items!$A$5:$A$19,0))+SUMIFS(D$4:D913,B$4:B913,B914),""))</f>
        <v/>
      </c>
      <c r="I914" s="23" t="str">
        <f t="shared" si="85"/>
        <v/>
      </c>
      <c r="J914" s="23" t="str">
        <f t="shared" si="86"/>
        <v/>
      </c>
      <c r="K914" s="18" t="str">
        <f t="shared" si="87"/>
        <v/>
      </c>
      <c r="L914" s="16" t="str">
        <f t="shared" ca="1" si="88"/>
        <v/>
      </c>
      <c r="M914" s="25" t="str">
        <f>IF(H914="","",IF(I914&lt;=0,"Shipped",IF(L914&lt;=AGE30,"Fresh",IF(L914&lt;=AGE60,"Watch",IF(L914&lt;=AGE90,"Aging","Old")))))</f>
        <v/>
      </c>
      <c r="N914" s="16" t="str">
        <f t="shared" si="89"/>
        <v/>
      </c>
    </row>
    <row r="915" spans="1:14" x14ac:dyDescent="0.2">
      <c r="A915" s="32"/>
      <c r="B915" s="27"/>
      <c r="C915" s="15" t="str">
        <f>IF(B915="","",IFERROR(INDEX(Items!$B$5:$B$19,MATCH(B915,Items!$A$5:$A$19,0)),"Unknown code"))</f>
        <v/>
      </c>
      <c r="D915" s="29"/>
      <c r="E915" s="18" t="str">
        <f>IF(B915="","",IFERROR(INDEX(Items!$C$5:$C$19,MATCH(B915,Items!$A$5:$A$19,0)),""))</f>
        <v/>
      </c>
      <c r="F915" s="18" t="str">
        <f t="shared" si="84"/>
        <v/>
      </c>
      <c r="G915" s="27"/>
      <c r="H915" s="23" t="str">
        <f>IF(OR(A915="",B915="",D915=""),"",IFERROR(INDEX(Items!$D$5:$D$19,MATCH(B915,Items!$A$5:$A$19,0))+SUMIFS(D$4:D914,B$4:B914,B915),""))</f>
        <v/>
      </c>
      <c r="I915" s="23" t="str">
        <f t="shared" si="85"/>
        <v/>
      </c>
      <c r="J915" s="23" t="str">
        <f t="shared" si="86"/>
        <v/>
      </c>
      <c r="K915" s="18" t="str">
        <f t="shared" si="87"/>
        <v/>
      </c>
      <c r="L915" s="16" t="str">
        <f t="shared" ca="1" si="88"/>
        <v/>
      </c>
      <c r="M915" s="25" t="str">
        <f>IF(H915="","",IF(I915&lt;=0,"Shipped",IF(L915&lt;=AGE30,"Fresh",IF(L915&lt;=AGE60,"Watch",IF(L915&lt;=AGE90,"Aging","Old")))))</f>
        <v/>
      </c>
      <c r="N915" s="16" t="str">
        <f t="shared" si="89"/>
        <v/>
      </c>
    </row>
    <row r="916" spans="1:14" x14ac:dyDescent="0.2">
      <c r="A916" s="32"/>
      <c r="B916" s="27"/>
      <c r="C916" s="15" t="str">
        <f>IF(B916="","",IFERROR(INDEX(Items!$B$5:$B$19,MATCH(B916,Items!$A$5:$A$19,0)),"Unknown code"))</f>
        <v/>
      </c>
      <c r="D916" s="29"/>
      <c r="E916" s="18" t="str">
        <f>IF(B916="","",IFERROR(INDEX(Items!$C$5:$C$19,MATCH(B916,Items!$A$5:$A$19,0)),""))</f>
        <v/>
      </c>
      <c r="F916" s="18" t="str">
        <f t="shared" si="84"/>
        <v/>
      </c>
      <c r="G916" s="27"/>
      <c r="H916" s="23" t="str">
        <f>IF(OR(A916="",B916="",D916=""),"",IFERROR(INDEX(Items!$D$5:$D$19,MATCH(B916,Items!$A$5:$A$19,0))+SUMIFS(D$4:D915,B$4:B915,B916),""))</f>
        <v/>
      </c>
      <c r="I916" s="23" t="str">
        <f t="shared" si="85"/>
        <v/>
      </c>
      <c r="J916" s="23" t="str">
        <f t="shared" si="86"/>
        <v/>
      </c>
      <c r="K916" s="18" t="str">
        <f t="shared" si="87"/>
        <v/>
      </c>
      <c r="L916" s="16" t="str">
        <f t="shared" ca="1" si="88"/>
        <v/>
      </c>
      <c r="M916" s="25" t="str">
        <f>IF(H916="","",IF(I916&lt;=0,"Shipped",IF(L916&lt;=AGE30,"Fresh",IF(L916&lt;=AGE60,"Watch",IF(L916&lt;=AGE90,"Aging","Old")))))</f>
        <v/>
      </c>
      <c r="N916" s="16" t="str">
        <f t="shared" si="89"/>
        <v/>
      </c>
    </row>
    <row r="917" spans="1:14" x14ac:dyDescent="0.2">
      <c r="A917" s="32"/>
      <c r="B917" s="27"/>
      <c r="C917" s="15" t="str">
        <f>IF(B917="","",IFERROR(INDEX(Items!$B$5:$B$19,MATCH(B917,Items!$A$5:$A$19,0)),"Unknown code"))</f>
        <v/>
      </c>
      <c r="D917" s="29"/>
      <c r="E917" s="18" t="str">
        <f>IF(B917="","",IFERROR(INDEX(Items!$C$5:$C$19,MATCH(B917,Items!$A$5:$A$19,0)),""))</f>
        <v/>
      </c>
      <c r="F917" s="18" t="str">
        <f t="shared" si="84"/>
        <v/>
      </c>
      <c r="G917" s="27"/>
      <c r="H917" s="23" t="str">
        <f>IF(OR(A917="",B917="",D917=""),"",IFERROR(INDEX(Items!$D$5:$D$19,MATCH(B917,Items!$A$5:$A$19,0))+SUMIFS(D$4:D916,B$4:B916,B917),""))</f>
        <v/>
      </c>
      <c r="I917" s="23" t="str">
        <f t="shared" si="85"/>
        <v/>
      </c>
      <c r="J917" s="23" t="str">
        <f t="shared" si="86"/>
        <v/>
      </c>
      <c r="K917" s="18" t="str">
        <f t="shared" si="87"/>
        <v/>
      </c>
      <c r="L917" s="16" t="str">
        <f t="shared" ca="1" si="88"/>
        <v/>
      </c>
      <c r="M917" s="25" t="str">
        <f>IF(H917="","",IF(I917&lt;=0,"Shipped",IF(L917&lt;=AGE30,"Fresh",IF(L917&lt;=AGE60,"Watch",IF(L917&lt;=AGE90,"Aging","Old")))))</f>
        <v/>
      </c>
      <c r="N917" s="16" t="str">
        <f t="shared" si="89"/>
        <v/>
      </c>
    </row>
    <row r="918" spans="1:14" x14ac:dyDescent="0.2">
      <c r="A918" s="32"/>
      <c r="B918" s="27"/>
      <c r="C918" s="15" t="str">
        <f>IF(B918="","",IFERROR(INDEX(Items!$B$5:$B$19,MATCH(B918,Items!$A$5:$A$19,0)),"Unknown code"))</f>
        <v/>
      </c>
      <c r="D918" s="29"/>
      <c r="E918" s="18" t="str">
        <f>IF(B918="","",IFERROR(INDEX(Items!$C$5:$C$19,MATCH(B918,Items!$A$5:$A$19,0)),""))</f>
        <v/>
      </c>
      <c r="F918" s="18" t="str">
        <f t="shared" si="84"/>
        <v/>
      </c>
      <c r="G918" s="27"/>
      <c r="H918" s="23" t="str">
        <f>IF(OR(A918="",B918="",D918=""),"",IFERROR(INDEX(Items!$D$5:$D$19,MATCH(B918,Items!$A$5:$A$19,0))+SUMIFS(D$4:D917,B$4:B917,B918),""))</f>
        <v/>
      </c>
      <c r="I918" s="23" t="str">
        <f t="shared" si="85"/>
        <v/>
      </c>
      <c r="J918" s="23" t="str">
        <f t="shared" si="86"/>
        <v/>
      </c>
      <c r="K918" s="18" t="str">
        <f t="shared" si="87"/>
        <v/>
      </c>
      <c r="L918" s="16" t="str">
        <f t="shared" ca="1" si="88"/>
        <v/>
      </c>
      <c r="M918" s="25" t="str">
        <f>IF(H918="","",IF(I918&lt;=0,"Shipped",IF(L918&lt;=AGE30,"Fresh",IF(L918&lt;=AGE60,"Watch",IF(L918&lt;=AGE90,"Aging","Old")))))</f>
        <v/>
      </c>
      <c r="N918" s="16" t="str">
        <f t="shared" si="89"/>
        <v/>
      </c>
    </row>
    <row r="919" spans="1:14" x14ac:dyDescent="0.2">
      <c r="A919" s="32"/>
      <c r="B919" s="27"/>
      <c r="C919" s="15" t="str">
        <f>IF(B919="","",IFERROR(INDEX(Items!$B$5:$B$19,MATCH(B919,Items!$A$5:$A$19,0)),"Unknown code"))</f>
        <v/>
      </c>
      <c r="D919" s="29"/>
      <c r="E919" s="18" t="str">
        <f>IF(B919="","",IFERROR(INDEX(Items!$C$5:$C$19,MATCH(B919,Items!$A$5:$A$19,0)),""))</f>
        <v/>
      </c>
      <c r="F919" s="18" t="str">
        <f t="shared" si="84"/>
        <v/>
      </c>
      <c r="G919" s="27"/>
      <c r="H919" s="23" t="str">
        <f>IF(OR(A919="",B919="",D919=""),"",IFERROR(INDEX(Items!$D$5:$D$19,MATCH(B919,Items!$A$5:$A$19,0))+SUMIFS(D$4:D918,B$4:B918,B919),""))</f>
        <v/>
      </c>
      <c r="I919" s="23" t="str">
        <f t="shared" si="85"/>
        <v/>
      </c>
      <c r="J919" s="23" t="str">
        <f t="shared" si="86"/>
        <v/>
      </c>
      <c r="K919" s="18" t="str">
        <f t="shared" si="87"/>
        <v/>
      </c>
      <c r="L919" s="16" t="str">
        <f t="shared" ca="1" si="88"/>
        <v/>
      </c>
      <c r="M919" s="25" t="str">
        <f>IF(H919="","",IF(I919&lt;=0,"Shipped",IF(L919&lt;=AGE30,"Fresh",IF(L919&lt;=AGE60,"Watch",IF(L919&lt;=AGE90,"Aging","Old")))))</f>
        <v/>
      </c>
      <c r="N919" s="16" t="str">
        <f t="shared" si="89"/>
        <v/>
      </c>
    </row>
    <row r="920" spans="1:14" x14ac:dyDescent="0.2">
      <c r="A920" s="32"/>
      <c r="B920" s="27"/>
      <c r="C920" s="15" t="str">
        <f>IF(B920="","",IFERROR(INDEX(Items!$B$5:$B$19,MATCH(B920,Items!$A$5:$A$19,0)),"Unknown code"))</f>
        <v/>
      </c>
      <c r="D920" s="29"/>
      <c r="E920" s="18" t="str">
        <f>IF(B920="","",IFERROR(INDEX(Items!$C$5:$C$19,MATCH(B920,Items!$A$5:$A$19,0)),""))</f>
        <v/>
      </c>
      <c r="F920" s="18" t="str">
        <f t="shared" si="84"/>
        <v/>
      </c>
      <c r="G920" s="27"/>
      <c r="H920" s="23" t="str">
        <f>IF(OR(A920="",B920="",D920=""),"",IFERROR(INDEX(Items!$D$5:$D$19,MATCH(B920,Items!$A$5:$A$19,0))+SUMIFS(D$4:D919,B$4:B919,B920),""))</f>
        <v/>
      </c>
      <c r="I920" s="23" t="str">
        <f t="shared" si="85"/>
        <v/>
      </c>
      <c r="J920" s="23" t="str">
        <f t="shared" si="86"/>
        <v/>
      </c>
      <c r="K920" s="18" t="str">
        <f t="shared" si="87"/>
        <v/>
      </c>
      <c r="L920" s="16" t="str">
        <f t="shared" ca="1" si="88"/>
        <v/>
      </c>
      <c r="M920" s="25" t="str">
        <f>IF(H920="","",IF(I920&lt;=0,"Shipped",IF(L920&lt;=AGE30,"Fresh",IF(L920&lt;=AGE60,"Watch",IF(L920&lt;=AGE90,"Aging","Old")))))</f>
        <v/>
      </c>
      <c r="N920" s="16" t="str">
        <f t="shared" si="89"/>
        <v/>
      </c>
    </row>
    <row r="921" spans="1:14" x14ac:dyDescent="0.2">
      <c r="A921" s="32"/>
      <c r="B921" s="27"/>
      <c r="C921" s="15" t="str">
        <f>IF(B921="","",IFERROR(INDEX(Items!$B$5:$B$19,MATCH(B921,Items!$A$5:$A$19,0)),"Unknown code"))</f>
        <v/>
      </c>
      <c r="D921" s="29"/>
      <c r="E921" s="18" t="str">
        <f>IF(B921="","",IFERROR(INDEX(Items!$C$5:$C$19,MATCH(B921,Items!$A$5:$A$19,0)),""))</f>
        <v/>
      </c>
      <c r="F921" s="18" t="str">
        <f t="shared" si="84"/>
        <v/>
      </c>
      <c r="G921" s="27"/>
      <c r="H921" s="23" t="str">
        <f>IF(OR(A921="",B921="",D921=""),"",IFERROR(INDEX(Items!$D$5:$D$19,MATCH(B921,Items!$A$5:$A$19,0))+SUMIFS(D$4:D920,B$4:B920,B921),""))</f>
        <v/>
      </c>
      <c r="I921" s="23" t="str">
        <f t="shared" si="85"/>
        <v/>
      </c>
      <c r="J921" s="23" t="str">
        <f t="shared" si="86"/>
        <v/>
      </c>
      <c r="K921" s="18" t="str">
        <f t="shared" si="87"/>
        <v/>
      </c>
      <c r="L921" s="16" t="str">
        <f t="shared" ca="1" si="88"/>
        <v/>
      </c>
      <c r="M921" s="25" t="str">
        <f>IF(H921="","",IF(I921&lt;=0,"Shipped",IF(L921&lt;=AGE30,"Fresh",IF(L921&lt;=AGE60,"Watch",IF(L921&lt;=AGE90,"Aging","Old")))))</f>
        <v/>
      </c>
      <c r="N921" s="16" t="str">
        <f t="shared" si="89"/>
        <v/>
      </c>
    </row>
    <row r="922" spans="1:14" x14ac:dyDescent="0.2">
      <c r="A922" s="32"/>
      <c r="B922" s="27"/>
      <c r="C922" s="15" t="str">
        <f>IF(B922="","",IFERROR(INDEX(Items!$B$5:$B$19,MATCH(B922,Items!$A$5:$A$19,0)),"Unknown code"))</f>
        <v/>
      </c>
      <c r="D922" s="29"/>
      <c r="E922" s="18" t="str">
        <f>IF(B922="","",IFERROR(INDEX(Items!$C$5:$C$19,MATCH(B922,Items!$A$5:$A$19,0)),""))</f>
        <v/>
      </c>
      <c r="F922" s="18" t="str">
        <f t="shared" si="84"/>
        <v/>
      </c>
      <c r="G922" s="27"/>
      <c r="H922" s="23" t="str">
        <f>IF(OR(A922="",B922="",D922=""),"",IFERROR(INDEX(Items!$D$5:$D$19,MATCH(B922,Items!$A$5:$A$19,0))+SUMIFS(D$4:D921,B$4:B921,B922),""))</f>
        <v/>
      </c>
      <c r="I922" s="23" t="str">
        <f t="shared" si="85"/>
        <v/>
      </c>
      <c r="J922" s="23" t="str">
        <f t="shared" si="86"/>
        <v/>
      </c>
      <c r="K922" s="18" t="str">
        <f t="shared" si="87"/>
        <v/>
      </c>
      <c r="L922" s="16" t="str">
        <f t="shared" ca="1" si="88"/>
        <v/>
      </c>
      <c r="M922" s="25" t="str">
        <f>IF(H922="","",IF(I922&lt;=0,"Shipped",IF(L922&lt;=AGE30,"Fresh",IF(L922&lt;=AGE60,"Watch",IF(L922&lt;=AGE90,"Aging","Old")))))</f>
        <v/>
      </c>
      <c r="N922" s="16" t="str">
        <f t="shared" si="89"/>
        <v/>
      </c>
    </row>
    <row r="923" spans="1:14" x14ac:dyDescent="0.2">
      <c r="A923" s="32"/>
      <c r="B923" s="27"/>
      <c r="C923" s="15" t="str">
        <f>IF(B923="","",IFERROR(INDEX(Items!$B$5:$B$19,MATCH(B923,Items!$A$5:$A$19,0)),"Unknown code"))</f>
        <v/>
      </c>
      <c r="D923" s="29"/>
      <c r="E923" s="18" t="str">
        <f>IF(B923="","",IFERROR(INDEX(Items!$C$5:$C$19,MATCH(B923,Items!$A$5:$A$19,0)),""))</f>
        <v/>
      </c>
      <c r="F923" s="18" t="str">
        <f t="shared" si="84"/>
        <v/>
      </c>
      <c r="G923" s="27"/>
      <c r="H923" s="23" t="str">
        <f>IF(OR(A923="",B923="",D923=""),"",IFERROR(INDEX(Items!$D$5:$D$19,MATCH(B923,Items!$A$5:$A$19,0))+SUMIFS(D$4:D922,B$4:B922,B923),""))</f>
        <v/>
      </c>
      <c r="I923" s="23" t="str">
        <f t="shared" si="85"/>
        <v/>
      </c>
      <c r="J923" s="23" t="str">
        <f t="shared" si="86"/>
        <v/>
      </c>
      <c r="K923" s="18" t="str">
        <f t="shared" si="87"/>
        <v/>
      </c>
      <c r="L923" s="16" t="str">
        <f t="shared" ca="1" si="88"/>
        <v/>
      </c>
      <c r="M923" s="25" t="str">
        <f>IF(H923="","",IF(I923&lt;=0,"Shipped",IF(L923&lt;=AGE30,"Fresh",IF(L923&lt;=AGE60,"Watch",IF(L923&lt;=AGE90,"Aging","Old")))))</f>
        <v/>
      </c>
      <c r="N923" s="16" t="str">
        <f t="shared" si="89"/>
        <v/>
      </c>
    </row>
    <row r="924" spans="1:14" x14ac:dyDescent="0.2">
      <c r="A924" s="32"/>
      <c r="B924" s="27"/>
      <c r="C924" s="15" t="str">
        <f>IF(B924="","",IFERROR(INDEX(Items!$B$5:$B$19,MATCH(B924,Items!$A$5:$A$19,0)),"Unknown code"))</f>
        <v/>
      </c>
      <c r="D924" s="29"/>
      <c r="E924" s="18" t="str">
        <f>IF(B924="","",IFERROR(INDEX(Items!$C$5:$C$19,MATCH(B924,Items!$A$5:$A$19,0)),""))</f>
        <v/>
      </c>
      <c r="F924" s="18" t="str">
        <f t="shared" si="84"/>
        <v/>
      </c>
      <c r="G924" s="27"/>
      <c r="H924" s="23" t="str">
        <f>IF(OR(A924="",B924="",D924=""),"",IFERROR(INDEX(Items!$D$5:$D$19,MATCH(B924,Items!$A$5:$A$19,0))+SUMIFS(D$4:D923,B$4:B923,B924),""))</f>
        <v/>
      </c>
      <c r="I924" s="23" t="str">
        <f t="shared" si="85"/>
        <v/>
      </c>
      <c r="J924" s="23" t="str">
        <f t="shared" si="86"/>
        <v/>
      </c>
      <c r="K924" s="18" t="str">
        <f t="shared" si="87"/>
        <v/>
      </c>
      <c r="L924" s="16" t="str">
        <f t="shared" ca="1" si="88"/>
        <v/>
      </c>
      <c r="M924" s="25" t="str">
        <f>IF(H924="","",IF(I924&lt;=0,"Shipped",IF(L924&lt;=AGE30,"Fresh",IF(L924&lt;=AGE60,"Watch",IF(L924&lt;=AGE90,"Aging","Old")))))</f>
        <v/>
      </c>
      <c r="N924" s="16" t="str">
        <f t="shared" si="89"/>
        <v/>
      </c>
    </row>
    <row r="925" spans="1:14" x14ac:dyDescent="0.2">
      <c r="A925" s="32"/>
      <c r="B925" s="27"/>
      <c r="C925" s="15" t="str">
        <f>IF(B925="","",IFERROR(INDEX(Items!$B$5:$B$19,MATCH(B925,Items!$A$5:$A$19,0)),"Unknown code"))</f>
        <v/>
      </c>
      <c r="D925" s="29"/>
      <c r="E925" s="18" t="str">
        <f>IF(B925="","",IFERROR(INDEX(Items!$C$5:$C$19,MATCH(B925,Items!$A$5:$A$19,0)),""))</f>
        <v/>
      </c>
      <c r="F925" s="18" t="str">
        <f t="shared" si="84"/>
        <v/>
      </c>
      <c r="G925" s="27"/>
      <c r="H925" s="23" t="str">
        <f>IF(OR(A925="",B925="",D925=""),"",IFERROR(INDEX(Items!$D$5:$D$19,MATCH(B925,Items!$A$5:$A$19,0))+SUMIFS(D$4:D924,B$4:B924,B925),""))</f>
        <v/>
      </c>
      <c r="I925" s="23" t="str">
        <f t="shared" si="85"/>
        <v/>
      </c>
      <c r="J925" s="23" t="str">
        <f t="shared" si="86"/>
        <v/>
      </c>
      <c r="K925" s="18" t="str">
        <f t="shared" si="87"/>
        <v/>
      </c>
      <c r="L925" s="16" t="str">
        <f t="shared" ca="1" si="88"/>
        <v/>
      </c>
      <c r="M925" s="25" t="str">
        <f>IF(H925="","",IF(I925&lt;=0,"Shipped",IF(L925&lt;=AGE30,"Fresh",IF(L925&lt;=AGE60,"Watch",IF(L925&lt;=AGE90,"Aging","Old")))))</f>
        <v/>
      </c>
      <c r="N925" s="16" t="str">
        <f t="shared" si="89"/>
        <v/>
      </c>
    </row>
    <row r="926" spans="1:14" x14ac:dyDescent="0.2">
      <c r="A926" s="32"/>
      <c r="B926" s="27"/>
      <c r="C926" s="15" t="str">
        <f>IF(B926="","",IFERROR(INDEX(Items!$B$5:$B$19,MATCH(B926,Items!$A$5:$A$19,0)),"Unknown code"))</f>
        <v/>
      </c>
      <c r="D926" s="29"/>
      <c r="E926" s="18" t="str">
        <f>IF(B926="","",IFERROR(INDEX(Items!$C$5:$C$19,MATCH(B926,Items!$A$5:$A$19,0)),""))</f>
        <v/>
      </c>
      <c r="F926" s="18" t="str">
        <f t="shared" si="84"/>
        <v/>
      </c>
      <c r="G926" s="27"/>
      <c r="H926" s="23" t="str">
        <f>IF(OR(A926="",B926="",D926=""),"",IFERROR(INDEX(Items!$D$5:$D$19,MATCH(B926,Items!$A$5:$A$19,0))+SUMIFS(D$4:D925,B$4:B925,B926),""))</f>
        <v/>
      </c>
      <c r="I926" s="23" t="str">
        <f t="shared" si="85"/>
        <v/>
      </c>
      <c r="J926" s="23" t="str">
        <f t="shared" si="86"/>
        <v/>
      </c>
      <c r="K926" s="18" t="str">
        <f t="shared" si="87"/>
        <v/>
      </c>
      <c r="L926" s="16" t="str">
        <f t="shared" ca="1" si="88"/>
        <v/>
      </c>
      <c r="M926" s="25" t="str">
        <f>IF(H926="","",IF(I926&lt;=0,"Shipped",IF(L926&lt;=AGE30,"Fresh",IF(L926&lt;=AGE60,"Watch",IF(L926&lt;=AGE90,"Aging","Old")))))</f>
        <v/>
      </c>
      <c r="N926" s="16" t="str">
        <f t="shared" si="89"/>
        <v/>
      </c>
    </row>
    <row r="927" spans="1:14" x14ac:dyDescent="0.2">
      <c r="A927" s="32"/>
      <c r="B927" s="27"/>
      <c r="C927" s="15" t="str">
        <f>IF(B927="","",IFERROR(INDEX(Items!$B$5:$B$19,MATCH(B927,Items!$A$5:$A$19,0)),"Unknown code"))</f>
        <v/>
      </c>
      <c r="D927" s="29"/>
      <c r="E927" s="18" t="str">
        <f>IF(B927="","",IFERROR(INDEX(Items!$C$5:$C$19,MATCH(B927,Items!$A$5:$A$19,0)),""))</f>
        <v/>
      </c>
      <c r="F927" s="18" t="str">
        <f t="shared" si="84"/>
        <v/>
      </c>
      <c r="G927" s="27"/>
      <c r="H927" s="23" t="str">
        <f>IF(OR(A927="",B927="",D927=""),"",IFERROR(INDEX(Items!$D$5:$D$19,MATCH(B927,Items!$A$5:$A$19,0))+SUMIFS(D$4:D926,B$4:B926,B927),""))</f>
        <v/>
      </c>
      <c r="I927" s="23" t="str">
        <f t="shared" si="85"/>
        <v/>
      </c>
      <c r="J927" s="23" t="str">
        <f t="shared" si="86"/>
        <v/>
      </c>
      <c r="K927" s="18" t="str">
        <f t="shared" si="87"/>
        <v/>
      </c>
      <c r="L927" s="16" t="str">
        <f t="shared" ca="1" si="88"/>
        <v/>
      </c>
      <c r="M927" s="25" t="str">
        <f>IF(H927="","",IF(I927&lt;=0,"Shipped",IF(L927&lt;=AGE30,"Fresh",IF(L927&lt;=AGE60,"Watch",IF(L927&lt;=AGE90,"Aging","Old")))))</f>
        <v/>
      </c>
      <c r="N927" s="16" t="str">
        <f t="shared" si="89"/>
        <v/>
      </c>
    </row>
    <row r="928" spans="1:14" x14ac:dyDescent="0.2">
      <c r="A928" s="32"/>
      <c r="B928" s="27"/>
      <c r="C928" s="15" t="str">
        <f>IF(B928="","",IFERROR(INDEX(Items!$B$5:$B$19,MATCH(B928,Items!$A$5:$A$19,0)),"Unknown code"))</f>
        <v/>
      </c>
      <c r="D928" s="29"/>
      <c r="E928" s="18" t="str">
        <f>IF(B928="","",IFERROR(INDEX(Items!$C$5:$C$19,MATCH(B928,Items!$A$5:$A$19,0)),""))</f>
        <v/>
      </c>
      <c r="F928" s="18" t="str">
        <f t="shared" si="84"/>
        <v/>
      </c>
      <c r="G928" s="27"/>
      <c r="H928" s="23" t="str">
        <f>IF(OR(A928="",B928="",D928=""),"",IFERROR(INDEX(Items!$D$5:$D$19,MATCH(B928,Items!$A$5:$A$19,0))+SUMIFS(D$4:D927,B$4:B927,B928),""))</f>
        <v/>
      </c>
      <c r="I928" s="23" t="str">
        <f t="shared" si="85"/>
        <v/>
      </c>
      <c r="J928" s="23" t="str">
        <f t="shared" si="86"/>
        <v/>
      </c>
      <c r="K928" s="18" t="str">
        <f t="shared" si="87"/>
        <v/>
      </c>
      <c r="L928" s="16" t="str">
        <f t="shared" ca="1" si="88"/>
        <v/>
      </c>
      <c r="M928" s="25" t="str">
        <f>IF(H928="","",IF(I928&lt;=0,"Shipped",IF(L928&lt;=AGE30,"Fresh",IF(L928&lt;=AGE60,"Watch",IF(L928&lt;=AGE90,"Aging","Old")))))</f>
        <v/>
      </c>
      <c r="N928" s="16" t="str">
        <f t="shared" si="89"/>
        <v/>
      </c>
    </row>
    <row r="929" spans="1:14" x14ac:dyDescent="0.2">
      <c r="A929" s="32"/>
      <c r="B929" s="27"/>
      <c r="C929" s="15" t="str">
        <f>IF(B929="","",IFERROR(INDEX(Items!$B$5:$B$19,MATCH(B929,Items!$A$5:$A$19,0)),"Unknown code"))</f>
        <v/>
      </c>
      <c r="D929" s="29"/>
      <c r="E929" s="18" t="str">
        <f>IF(B929="","",IFERROR(INDEX(Items!$C$5:$C$19,MATCH(B929,Items!$A$5:$A$19,0)),""))</f>
        <v/>
      </c>
      <c r="F929" s="18" t="str">
        <f t="shared" si="84"/>
        <v/>
      </c>
      <c r="G929" s="27"/>
      <c r="H929" s="23" t="str">
        <f>IF(OR(A929="",B929="",D929=""),"",IFERROR(INDEX(Items!$D$5:$D$19,MATCH(B929,Items!$A$5:$A$19,0))+SUMIFS(D$4:D928,B$4:B928,B929),""))</f>
        <v/>
      </c>
      <c r="I929" s="23" t="str">
        <f t="shared" si="85"/>
        <v/>
      </c>
      <c r="J929" s="23" t="str">
        <f t="shared" si="86"/>
        <v/>
      </c>
      <c r="K929" s="18" t="str">
        <f t="shared" si="87"/>
        <v/>
      </c>
      <c r="L929" s="16" t="str">
        <f t="shared" ca="1" si="88"/>
        <v/>
      </c>
      <c r="M929" s="25" t="str">
        <f>IF(H929="","",IF(I929&lt;=0,"Shipped",IF(L929&lt;=AGE30,"Fresh",IF(L929&lt;=AGE60,"Watch",IF(L929&lt;=AGE90,"Aging","Old")))))</f>
        <v/>
      </c>
      <c r="N929" s="16" t="str">
        <f t="shared" si="89"/>
        <v/>
      </c>
    </row>
    <row r="930" spans="1:14" x14ac:dyDescent="0.2">
      <c r="A930" s="32"/>
      <c r="B930" s="27"/>
      <c r="C930" s="15" t="str">
        <f>IF(B930="","",IFERROR(INDEX(Items!$B$5:$B$19,MATCH(B930,Items!$A$5:$A$19,0)),"Unknown code"))</f>
        <v/>
      </c>
      <c r="D930" s="29"/>
      <c r="E930" s="18" t="str">
        <f>IF(B930="","",IFERROR(INDEX(Items!$C$5:$C$19,MATCH(B930,Items!$A$5:$A$19,0)),""))</f>
        <v/>
      </c>
      <c r="F930" s="18" t="str">
        <f t="shared" si="84"/>
        <v/>
      </c>
      <c r="G930" s="27"/>
      <c r="H930" s="23" t="str">
        <f>IF(OR(A930="",B930="",D930=""),"",IFERROR(INDEX(Items!$D$5:$D$19,MATCH(B930,Items!$A$5:$A$19,0))+SUMIFS(D$4:D929,B$4:B929,B930),""))</f>
        <v/>
      </c>
      <c r="I930" s="23" t="str">
        <f t="shared" si="85"/>
        <v/>
      </c>
      <c r="J930" s="23" t="str">
        <f t="shared" si="86"/>
        <v/>
      </c>
      <c r="K930" s="18" t="str">
        <f t="shared" si="87"/>
        <v/>
      </c>
      <c r="L930" s="16" t="str">
        <f t="shared" ca="1" si="88"/>
        <v/>
      </c>
      <c r="M930" s="25" t="str">
        <f>IF(H930="","",IF(I930&lt;=0,"Shipped",IF(L930&lt;=AGE30,"Fresh",IF(L930&lt;=AGE60,"Watch",IF(L930&lt;=AGE90,"Aging","Old")))))</f>
        <v/>
      </c>
      <c r="N930" s="16" t="str">
        <f t="shared" si="89"/>
        <v/>
      </c>
    </row>
    <row r="931" spans="1:14" x14ac:dyDescent="0.2">
      <c r="A931" s="32"/>
      <c r="B931" s="27"/>
      <c r="C931" s="15" t="str">
        <f>IF(B931="","",IFERROR(INDEX(Items!$B$5:$B$19,MATCH(B931,Items!$A$5:$A$19,0)),"Unknown code"))</f>
        <v/>
      </c>
      <c r="D931" s="29"/>
      <c r="E931" s="18" t="str">
        <f>IF(B931="","",IFERROR(INDEX(Items!$C$5:$C$19,MATCH(B931,Items!$A$5:$A$19,0)),""))</f>
        <v/>
      </c>
      <c r="F931" s="18" t="str">
        <f t="shared" si="84"/>
        <v/>
      </c>
      <c r="G931" s="27"/>
      <c r="H931" s="23" t="str">
        <f>IF(OR(A931="",B931="",D931=""),"",IFERROR(INDEX(Items!$D$5:$D$19,MATCH(B931,Items!$A$5:$A$19,0))+SUMIFS(D$4:D930,B$4:B930,B931),""))</f>
        <v/>
      </c>
      <c r="I931" s="23" t="str">
        <f t="shared" si="85"/>
        <v/>
      </c>
      <c r="J931" s="23" t="str">
        <f t="shared" si="86"/>
        <v/>
      </c>
      <c r="K931" s="18" t="str">
        <f t="shared" si="87"/>
        <v/>
      </c>
      <c r="L931" s="16" t="str">
        <f t="shared" ca="1" si="88"/>
        <v/>
      </c>
      <c r="M931" s="25" t="str">
        <f>IF(H931="","",IF(I931&lt;=0,"Shipped",IF(L931&lt;=AGE30,"Fresh",IF(L931&lt;=AGE60,"Watch",IF(L931&lt;=AGE90,"Aging","Old")))))</f>
        <v/>
      </c>
      <c r="N931" s="16" t="str">
        <f t="shared" si="89"/>
        <v/>
      </c>
    </row>
    <row r="932" spans="1:14" x14ac:dyDescent="0.2">
      <c r="A932" s="32"/>
      <c r="B932" s="27"/>
      <c r="C932" s="15" t="str">
        <f>IF(B932="","",IFERROR(INDEX(Items!$B$5:$B$19,MATCH(B932,Items!$A$5:$A$19,0)),"Unknown code"))</f>
        <v/>
      </c>
      <c r="D932" s="29"/>
      <c r="E932" s="18" t="str">
        <f>IF(B932="","",IFERROR(INDEX(Items!$C$5:$C$19,MATCH(B932,Items!$A$5:$A$19,0)),""))</f>
        <v/>
      </c>
      <c r="F932" s="18" t="str">
        <f t="shared" si="84"/>
        <v/>
      </c>
      <c r="G932" s="27"/>
      <c r="H932" s="23" t="str">
        <f>IF(OR(A932="",B932="",D932=""),"",IFERROR(INDEX(Items!$D$5:$D$19,MATCH(B932,Items!$A$5:$A$19,0))+SUMIFS(D$4:D931,B$4:B931,B932),""))</f>
        <v/>
      </c>
      <c r="I932" s="23" t="str">
        <f t="shared" si="85"/>
        <v/>
      </c>
      <c r="J932" s="23" t="str">
        <f t="shared" si="86"/>
        <v/>
      </c>
      <c r="K932" s="18" t="str">
        <f t="shared" si="87"/>
        <v/>
      </c>
      <c r="L932" s="16" t="str">
        <f t="shared" ca="1" si="88"/>
        <v/>
      </c>
      <c r="M932" s="25" t="str">
        <f>IF(H932="","",IF(I932&lt;=0,"Shipped",IF(L932&lt;=AGE30,"Fresh",IF(L932&lt;=AGE60,"Watch",IF(L932&lt;=AGE90,"Aging","Old")))))</f>
        <v/>
      </c>
      <c r="N932" s="16" t="str">
        <f t="shared" si="89"/>
        <v/>
      </c>
    </row>
    <row r="933" spans="1:14" x14ac:dyDescent="0.2">
      <c r="A933" s="32"/>
      <c r="B933" s="27"/>
      <c r="C933" s="15" t="str">
        <f>IF(B933="","",IFERROR(INDEX(Items!$B$5:$B$19,MATCH(B933,Items!$A$5:$A$19,0)),"Unknown code"))</f>
        <v/>
      </c>
      <c r="D933" s="29"/>
      <c r="E933" s="18" t="str">
        <f>IF(B933="","",IFERROR(INDEX(Items!$C$5:$C$19,MATCH(B933,Items!$A$5:$A$19,0)),""))</f>
        <v/>
      </c>
      <c r="F933" s="18" t="str">
        <f t="shared" si="84"/>
        <v/>
      </c>
      <c r="G933" s="27"/>
      <c r="H933" s="23" t="str">
        <f>IF(OR(A933="",B933="",D933=""),"",IFERROR(INDEX(Items!$D$5:$D$19,MATCH(B933,Items!$A$5:$A$19,0))+SUMIFS(D$4:D932,B$4:B932,B933),""))</f>
        <v/>
      </c>
      <c r="I933" s="23" t="str">
        <f t="shared" si="85"/>
        <v/>
      </c>
      <c r="J933" s="23" t="str">
        <f t="shared" si="86"/>
        <v/>
      </c>
      <c r="K933" s="18" t="str">
        <f t="shared" si="87"/>
        <v/>
      </c>
      <c r="L933" s="16" t="str">
        <f t="shared" ca="1" si="88"/>
        <v/>
      </c>
      <c r="M933" s="25" t="str">
        <f>IF(H933="","",IF(I933&lt;=0,"Shipped",IF(L933&lt;=AGE30,"Fresh",IF(L933&lt;=AGE60,"Watch",IF(L933&lt;=AGE90,"Aging","Old")))))</f>
        <v/>
      </c>
      <c r="N933" s="16" t="str">
        <f t="shared" si="89"/>
        <v/>
      </c>
    </row>
    <row r="934" spans="1:14" x14ac:dyDescent="0.2">
      <c r="A934" s="32"/>
      <c r="B934" s="27"/>
      <c r="C934" s="15" t="str">
        <f>IF(B934="","",IFERROR(INDEX(Items!$B$5:$B$19,MATCH(B934,Items!$A$5:$A$19,0)),"Unknown code"))</f>
        <v/>
      </c>
      <c r="D934" s="29"/>
      <c r="E934" s="18" t="str">
        <f>IF(B934="","",IFERROR(INDEX(Items!$C$5:$C$19,MATCH(B934,Items!$A$5:$A$19,0)),""))</f>
        <v/>
      </c>
      <c r="F934" s="18" t="str">
        <f t="shared" si="84"/>
        <v/>
      </c>
      <c r="G934" s="27"/>
      <c r="H934" s="23" t="str">
        <f>IF(OR(A934="",B934="",D934=""),"",IFERROR(INDEX(Items!$D$5:$D$19,MATCH(B934,Items!$A$5:$A$19,0))+SUMIFS(D$4:D933,B$4:B933,B934),""))</f>
        <v/>
      </c>
      <c r="I934" s="23" t="str">
        <f t="shared" si="85"/>
        <v/>
      </c>
      <c r="J934" s="23" t="str">
        <f t="shared" si="86"/>
        <v/>
      </c>
      <c r="K934" s="18" t="str">
        <f t="shared" si="87"/>
        <v/>
      </c>
      <c r="L934" s="16" t="str">
        <f t="shared" ca="1" si="88"/>
        <v/>
      </c>
      <c r="M934" s="25" t="str">
        <f>IF(H934="","",IF(I934&lt;=0,"Shipped",IF(L934&lt;=AGE30,"Fresh",IF(L934&lt;=AGE60,"Watch",IF(L934&lt;=AGE90,"Aging","Old")))))</f>
        <v/>
      </c>
      <c r="N934" s="16" t="str">
        <f t="shared" si="89"/>
        <v/>
      </c>
    </row>
    <row r="935" spans="1:14" x14ac:dyDescent="0.2">
      <c r="A935" s="32"/>
      <c r="B935" s="27"/>
      <c r="C935" s="15" t="str">
        <f>IF(B935="","",IFERROR(INDEX(Items!$B$5:$B$19,MATCH(B935,Items!$A$5:$A$19,0)),"Unknown code"))</f>
        <v/>
      </c>
      <c r="D935" s="29"/>
      <c r="E935" s="18" t="str">
        <f>IF(B935="","",IFERROR(INDEX(Items!$C$5:$C$19,MATCH(B935,Items!$A$5:$A$19,0)),""))</f>
        <v/>
      </c>
      <c r="F935" s="18" t="str">
        <f t="shared" si="84"/>
        <v/>
      </c>
      <c r="G935" s="27"/>
      <c r="H935" s="23" t="str">
        <f>IF(OR(A935="",B935="",D935=""),"",IFERROR(INDEX(Items!$D$5:$D$19,MATCH(B935,Items!$A$5:$A$19,0))+SUMIFS(D$4:D934,B$4:B934,B935),""))</f>
        <v/>
      </c>
      <c r="I935" s="23" t="str">
        <f t="shared" si="85"/>
        <v/>
      </c>
      <c r="J935" s="23" t="str">
        <f t="shared" si="86"/>
        <v/>
      </c>
      <c r="K935" s="18" t="str">
        <f t="shared" si="87"/>
        <v/>
      </c>
      <c r="L935" s="16" t="str">
        <f t="shared" ca="1" si="88"/>
        <v/>
      </c>
      <c r="M935" s="25" t="str">
        <f>IF(H935="","",IF(I935&lt;=0,"Shipped",IF(L935&lt;=AGE30,"Fresh",IF(L935&lt;=AGE60,"Watch",IF(L935&lt;=AGE90,"Aging","Old")))))</f>
        <v/>
      </c>
      <c r="N935" s="16" t="str">
        <f t="shared" si="89"/>
        <v/>
      </c>
    </row>
    <row r="936" spans="1:14" x14ac:dyDescent="0.2">
      <c r="A936" s="32"/>
      <c r="B936" s="27"/>
      <c r="C936" s="15" t="str">
        <f>IF(B936="","",IFERROR(INDEX(Items!$B$5:$B$19,MATCH(B936,Items!$A$5:$A$19,0)),"Unknown code"))</f>
        <v/>
      </c>
      <c r="D936" s="29"/>
      <c r="E936" s="18" t="str">
        <f>IF(B936="","",IFERROR(INDEX(Items!$C$5:$C$19,MATCH(B936,Items!$A$5:$A$19,0)),""))</f>
        <v/>
      </c>
      <c r="F936" s="18" t="str">
        <f t="shared" si="84"/>
        <v/>
      </c>
      <c r="G936" s="27"/>
      <c r="H936" s="23" t="str">
        <f>IF(OR(A936="",B936="",D936=""),"",IFERROR(INDEX(Items!$D$5:$D$19,MATCH(B936,Items!$A$5:$A$19,0))+SUMIFS(D$4:D935,B$4:B935,B936),""))</f>
        <v/>
      </c>
      <c r="I936" s="23" t="str">
        <f t="shared" si="85"/>
        <v/>
      </c>
      <c r="J936" s="23" t="str">
        <f t="shared" si="86"/>
        <v/>
      </c>
      <c r="K936" s="18" t="str">
        <f t="shared" si="87"/>
        <v/>
      </c>
      <c r="L936" s="16" t="str">
        <f t="shared" ca="1" si="88"/>
        <v/>
      </c>
      <c r="M936" s="25" t="str">
        <f>IF(H936="","",IF(I936&lt;=0,"Shipped",IF(L936&lt;=AGE30,"Fresh",IF(L936&lt;=AGE60,"Watch",IF(L936&lt;=AGE90,"Aging","Old")))))</f>
        <v/>
      </c>
      <c r="N936" s="16" t="str">
        <f t="shared" si="89"/>
        <v/>
      </c>
    </row>
    <row r="937" spans="1:14" x14ac:dyDescent="0.2">
      <c r="A937" s="32"/>
      <c r="B937" s="27"/>
      <c r="C937" s="15" t="str">
        <f>IF(B937="","",IFERROR(INDEX(Items!$B$5:$B$19,MATCH(B937,Items!$A$5:$A$19,0)),"Unknown code"))</f>
        <v/>
      </c>
      <c r="D937" s="29"/>
      <c r="E937" s="18" t="str">
        <f>IF(B937="","",IFERROR(INDEX(Items!$C$5:$C$19,MATCH(B937,Items!$A$5:$A$19,0)),""))</f>
        <v/>
      </c>
      <c r="F937" s="18" t="str">
        <f t="shared" si="84"/>
        <v/>
      </c>
      <c r="G937" s="27"/>
      <c r="H937" s="23" t="str">
        <f>IF(OR(A937="",B937="",D937=""),"",IFERROR(INDEX(Items!$D$5:$D$19,MATCH(B937,Items!$A$5:$A$19,0))+SUMIFS(D$4:D936,B$4:B936,B937),""))</f>
        <v/>
      </c>
      <c r="I937" s="23" t="str">
        <f t="shared" si="85"/>
        <v/>
      </c>
      <c r="J937" s="23" t="str">
        <f t="shared" si="86"/>
        <v/>
      </c>
      <c r="K937" s="18" t="str">
        <f t="shared" si="87"/>
        <v/>
      </c>
      <c r="L937" s="16" t="str">
        <f t="shared" ca="1" si="88"/>
        <v/>
      </c>
      <c r="M937" s="25" t="str">
        <f>IF(H937="","",IF(I937&lt;=0,"Shipped",IF(L937&lt;=AGE30,"Fresh",IF(L937&lt;=AGE60,"Watch",IF(L937&lt;=AGE90,"Aging","Old")))))</f>
        <v/>
      </c>
      <c r="N937" s="16" t="str">
        <f t="shared" si="89"/>
        <v/>
      </c>
    </row>
    <row r="938" spans="1:14" x14ac:dyDescent="0.2">
      <c r="A938" s="32"/>
      <c r="B938" s="27"/>
      <c r="C938" s="15" t="str">
        <f>IF(B938="","",IFERROR(INDEX(Items!$B$5:$B$19,MATCH(B938,Items!$A$5:$A$19,0)),"Unknown code"))</f>
        <v/>
      </c>
      <c r="D938" s="29"/>
      <c r="E938" s="18" t="str">
        <f>IF(B938="","",IFERROR(INDEX(Items!$C$5:$C$19,MATCH(B938,Items!$A$5:$A$19,0)),""))</f>
        <v/>
      </c>
      <c r="F938" s="18" t="str">
        <f t="shared" si="84"/>
        <v/>
      </c>
      <c r="G938" s="27"/>
      <c r="H938" s="23" t="str">
        <f>IF(OR(A938="",B938="",D938=""),"",IFERROR(INDEX(Items!$D$5:$D$19,MATCH(B938,Items!$A$5:$A$19,0))+SUMIFS(D$4:D937,B$4:B937,B938),""))</f>
        <v/>
      </c>
      <c r="I938" s="23" t="str">
        <f t="shared" si="85"/>
        <v/>
      </c>
      <c r="J938" s="23" t="str">
        <f t="shared" si="86"/>
        <v/>
      </c>
      <c r="K938" s="18" t="str">
        <f t="shared" si="87"/>
        <v/>
      </c>
      <c r="L938" s="16" t="str">
        <f t="shared" ca="1" si="88"/>
        <v/>
      </c>
      <c r="M938" s="25" t="str">
        <f>IF(H938="","",IF(I938&lt;=0,"Shipped",IF(L938&lt;=AGE30,"Fresh",IF(L938&lt;=AGE60,"Watch",IF(L938&lt;=AGE90,"Aging","Old")))))</f>
        <v/>
      </c>
      <c r="N938" s="16" t="str">
        <f t="shared" si="89"/>
        <v/>
      </c>
    </row>
    <row r="939" spans="1:14" x14ac:dyDescent="0.2">
      <c r="A939" s="32"/>
      <c r="B939" s="27"/>
      <c r="C939" s="15" t="str">
        <f>IF(B939="","",IFERROR(INDEX(Items!$B$5:$B$19,MATCH(B939,Items!$A$5:$A$19,0)),"Unknown code"))</f>
        <v/>
      </c>
      <c r="D939" s="29"/>
      <c r="E939" s="18" t="str">
        <f>IF(B939="","",IFERROR(INDEX(Items!$C$5:$C$19,MATCH(B939,Items!$A$5:$A$19,0)),""))</f>
        <v/>
      </c>
      <c r="F939" s="18" t="str">
        <f t="shared" si="84"/>
        <v/>
      </c>
      <c r="G939" s="27"/>
      <c r="H939" s="23" t="str">
        <f>IF(OR(A939="",B939="",D939=""),"",IFERROR(INDEX(Items!$D$5:$D$19,MATCH(B939,Items!$A$5:$A$19,0))+SUMIFS(D$4:D938,B$4:B938,B939),""))</f>
        <v/>
      </c>
      <c r="I939" s="23" t="str">
        <f t="shared" si="85"/>
        <v/>
      </c>
      <c r="J939" s="23" t="str">
        <f t="shared" si="86"/>
        <v/>
      </c>
      <c r="K939" s="18" t="str">
        <f t="shared" si="87"/>
        <v/>
      </c>
      <c r="L939" s="16" t="str">
        <f t="shared" ca="1" si="88"/>
        <v/>
      </c>
      <c r="M939" s="25" t="str">
        <f>IF(H939="","",IF(I939&lt;=0,"Shipped",IF(L939&lt;=AGE30,"Fresh",IF(L939&lt;=AGE60,"Watch",IF(L939&lt;=AGE90,"Aging","Old")))))</f>
        <v/>
      </c>
      <c r="N939" s="16" t="str">
        <f t="shared" si="89"/>
        <v/>
      </c>
    </row>
    <row r="940" spans="1:14" x14ac:dyDescent="0.2">
      <c r="A940" s="32"/>
      <c r="B940" s="27"/>
      <c r="C940" s="15" t="str">
        <f>IF(B940="","",IFERROR(INDEX(Items!$B$5:$B$19,MATCH(B940,Items!$A$5:$A$19,0)),"Unknown code"))</f>
        <v/>
      </c>
      <c r="D940" s="29"/>
      <c r="E940" s="18" t="str">
        <f>IF(B940="","",IFERROR(INDEX(Items!$C$5:$C$19,MATCH(B940,Items!$A$5:$A$19,0)),""))</f>
        <v/>
      </c>
      <c r="F940" s="18" t="str">
        <f t="shared" si="84"/>
        <v/>
      </c>
      <c r="G940" s="27"/>
      <c r="H940" s="23" t="str">
        <f>IF(OR(A940="",B940="",D940=""),"",IFERROR(INDEX(Items!$D$5:$D$19,MATCH(B940,Items!$A$5:$A$19,0))+SUMIFS(D$4:D939,B$4:B939,B940),""))</f>
        <v/>
      </c>
      <c r="I940" s="23" t="str">
        <f t="shared" si="85"/>
        <v/>
      </c>
      <c r="J940" s="23" t="str">
        <f t="shared" si="86"/>
        <v/>
      </c>
      <c r="K940" s="18" t="str">
        <f t="shared" si="87"/>
        <v/>
      </c>
      <c r="L940" s="16" t="str">
        <f t="shared" ca="1" si="88"/>
        <v/>
      </c>
      <c r="M940" s="25" t="str">
        <f>IF(H940="","",IF(I940&lt;=0,"Shipped",IF(L940&lt;=AGE30,"Fresh",IF(L940&lt;=AGE60,"Watch",IF(L940&lt;=AGE90,"Aging","Old")))))</f>
        <v/>
      </c>
      <c r="N940" s="16" t="str">
        <f t="shared" si="89"/>
        <v/>
      </c>
    </row>
    <row r="941" spans="1:14" x14ac:dyDescent="0.2">
      <c r="A941" s="32"/>
      <c r="B941" s="27"/>
      <c r="C941" s="15" t="str">
        <f>IF(B941="","",IFERROR(INDEX(Items!$B$5:$B$19,MATCH(B941,Items!$A$5:$A$19,0)),"Unknown code"))</f>
        <v/>
      </c>
      <c r="D941" s="29"/>
      <c r="E941" s="18" t="str">
        <f>IF(B941="","",IFERROR(INDEX(Items!$C$5:$C$19,MATCH(B941,Items!$A$5:$A$19,0)),""))</f>
        <v/>
      </c>
      <c r="F941" s="18" t="str">
        <f t="shared" si="84"/>
        <v/>
      </c>
      <c r="G941" s="27"/>
      <c r="H941" s="23" t="str">
        <f>IF(OR(A941="",B941="",D941=""),"",IFERROR(INDEX(Items!$D$5:$D$19,MATCH(B941,Items!$A$5:$A$19,0))+SUMIFS(D$4:D940,B$4:B940,B941),""))</f>
        <v/>
      </c>
      <c r="I941" s="23" t="str">
        <f t="shared" si="85"/>
        <v/>
      </c>
      <c r="J941" s="23" t="str">
        <f t="shared" si="86"/>
        <v/>
      </c>
      <c r="K941" s="18" t="str">
        <f t="shared" si="87"/>
        <v/>
      </c>
      <c r="L941" s="16" t="str">
        <f t="shared" ca="1" si="88"/>
        <v/>
      </c>
      <c r="M941" s="25" t="str">
        <f>IF(H941="","",IF(I941&lt;=0,"Shipped",IF(L941&lt;=AGE30,"Fresh",IF(L941&lt;=AGE60,"Watch",IF(L941&lt;=AGE90,"Aging","Old")))))</f>
        <v/>
      </c>
      <c r="N941" s="16" t="str">
        <f t="shared" si="89"/>
        <v/>
      </c>
    </row>
    <row r="942" spans="1:14" x14ac:dyDescent="0.2">
      <c r="A942" s="32"/>
      <c r="B942" s="27"/>
      <c r="C942" s="15" t="str">
        <f>IF(B942="","",IFERROR(INDEX(Items!$B$5:$B$19,MATCH(B942,Items!$A$5:$A$19,0)),"Unknown code"))</f>
        <v/>
      </c>
      <c r="D942" s="29"/>
      <c r="E942" s="18" t="str">
        <f>IF(B942="","",IFERROR(INDEX(Items!$C$5:$C$19,MATCH(B942,Items!$A$5:$A$19,0)),""))</f>
        <v/>
      </c>
      <c r="F942" s="18" t="str">
        <f t="shared" si="84"/>
        <v/>
      </c>
      <c r="G942" s="27"/>
      <c r="H942" s="23" t="str">
        <f>IF(OR(A942="",B942="",D942=""),"",IFERROR(INDEX(Items!$D$5:$D$19,MATCH(B942,Items!$A$5:$A$19,0))+SUMIFS(D$4:D941,B$4:B941,B942),""))</f>
        <v/>
      </c>
      <c r="I942" s="23" t="str">
        <f t="shared" si="85"/>
        <v/>
      </c>
      <c r="J942" s="23" t="str">
        <f t="shared" si="86"/>
        <v/>
      </c>
      <c r="K942" s="18" t="str">
        <f t="shared" si="87"/>
        <v/>
      </c>
      <c r="L942" s="16" t="str">
        <f t="shared" ca="1" si="88"/>
        <v/>
      </c>
      <c r="M942" s="25" t="str">
        <f>IF(H942="","",IF(I942&lt;=0,"Shipped",IF(L942&lt;=AGE30,"Fresh",IF(L942&lt;=AGE60,"Watch",IF(L942&lt;=AGE90,"Aging","Old")))))</f>
        <v/>
      </c>
      <c r="N942" s="16" t="str">
        <f t="shared" si="89"/>
        <v/>
      </c>
    </row>
    <row r="943" spans="1:14" x14ac:dyDescent="0.2">
      <c r="A943" s="32"/>
      <c r="B943" s="27"/>
      <c r="C943" s="15" t="str">
        <f>IF(B943="","",IFERROR(INDEX(Items!$B$5:$B$19,MATCH(B943,Items!$A$5:$A$19,0)),"Unknown code"))</f>
        <v/>
      </c>
      <c r="D943" s="29"/>
      <c r="E943" s="18" t="str">
        <f>IF(B943="","",IFERROR(INDEX(Items!$C$5:$C$19,MATCH(B943,Items!$A$5:$A$19,0)),""))</f>
        <v/>
      </c>
      <c r="F943" s="18" t="str">
        <f t="shared" si="84"/>
        <v/>
      </c>
      <c r="G943" s="27"/>
      <c r="H943" s="23" t="str">
        <f>IF(OR(A943="",B943="",D943=""),"",IFERROR(INDEX(Items!$D$5:$D$19,MATCH(B943,Items!$A$5:$A$19,0))+SUMIFS(D$4:D942,B$4:B942,B943),""))</f>
        <v/>
      </c>
      <c r="I943" s="23" t="str">
        <f t="shared" si="85"/>
        <v/>
      </c>
      <c r="J943" s="23" t="str">
        <f t="shared" si="86"/>
        <v/>
      </c>
      <c r="K943" s="18" t="str">
        <f t="shared" si="87"/>
        <v/>
      </c>
      <c r="L943" s="16" t="str">
        <f t="shared" ca="1" si="88"/>
        <v/>
      </c>
      <c r="M943" s="25" t="str">
        <f>IF(H943="","",IF(I943&lt;=0,"Shipped",IF(L943&lt;=AGE30,"Fresh",IF(L943&lt;=AGE60,"Watch",IF(L943&lt;=AGE90,"Aging","Old")))))</f>
        <v/>
      </c>
      <c r="N943" s="16" t="str">
        <f t="shared" si="89"/>
        <v/>
      </c>
    </row>
    <row r="944" spans="1:14" x14ac:dyDescent="0.2">
      <c r="A944" s="32"/>
      <c r="B944" s="27"/>
      <c r="C944" s="15" t="str">
        <f>IF(B944="","",IFERROR(INDEX(Items!$B$5:$B$19,MATCH(B944,Items!$A$5:$A$19,0)),"Unknown code"))</f>
        <v/>
      </c>
      <c r="D944" s="29"/>
      <c r="E944" s="18" t="str">
        <f>IF(B944="","",IFERROR(INDEX(Items!$C$5:$C$19,MATCH(B944,Items!$A$5:$A$19,0)),""))</f>
        <v/>
      </c>
      <c r="F944" s="18" t="str">
        <f t="shared" si="84"/>
        <v/>
      </c>
      <c r="G944" s="27"/>
      <c r="H944" s="23" t="str">
        <f>IF(OR(A944="",B944="",D944=""),"",IFERROR(INDEX(Items!$D$5:$D$19,MATCH(B944,Items!$A$5:$A$19,0))+SUMIFS(D$4:D943,B$4:B943,B944),""))</f>
        <v/>
      </c>
      <c r="I944" s="23" t="str">
        <f t="shared" si="85"/>
        <v/>
      </c>
      <c r="J944" s="23" t="str">
        <f t="shared" si="86"/>
        <v/>
      </c>
      <c r="K944" s="18" t="str">
        <f t="shared" si="87"/>
        <v/>
      </c>
      <c r="L944" s="16" t="str">
        <f t="shared" ca="1" si="88"/>
        <v/>
      </c>
      <c r="M944" s="25" t="str">
        <f>IF(H944="","",IF(I944&lt;=0,"Shipped",IF(L944&lt;=AGE30,"Fresh",IF(L944&lt;=AGE60,"Watch",IF(L944&lt;=AGE90,"Aging","Old")))))</f>
        <v/>
      </c>
      <c r="N944" s="16" t="str">
        <f t="shared" si="89"/>
        <v/>
      </c>
    </row>
    <row r="945" spans="1:14" x14ac:dyDescent="0.2">
      <c r="A945" s="32"/>
      <c r="B945" s="27"/>
      <c r="C945" s="15" t="str">
        <f>IF(B945="","",IFERROR(INDEX(Items!$B$5:$B$19,MATCH(B945,Items!$A$5:$A$19,0)),"Unknown code"))</f>
        <v/>
      </c>
      <c r="D945" s="29"/>
      <c r="E945" s="18" t="str">
        <f>IF(B945="","",IFERROR(INDEX(Items!$C$5:$C$19,MATCH(B945,Items!$A$5:$A$19,0)),""))</f>
        <v/>
      </c>
      <c r="F945" s="18" t="str">
        <f t="shared" si="84"/>
        <v/>
      </c>
      <c r="G945" s="27"/>
      <c r="H945" s="23" t="str">
        <f>IF(OR(A945="",B945="",D945=""),"",IFERROR(INDEX(Items!$D$5:$D$19,MATCH(B945,Items!$A$5:$A$19,0))+SUMIFS(D$4:D944,B$4:B944,B945),""))</f>
        <v/>
      </c>
      <c r="I945" s="23" t="str">
        <f t="shared" si="85"/>
        <v/>
      </c>
      <c r="J945" s="23" t="str">
        <f t="shared" si="86"/>
        <v/>
      </c>
      <c r="K945" s="18" t="str">
        <f t="shared" si="87"/>
        <v/>
      </c>
      <c r="L945" s="16" t="str">
        <f t="shared" ca="1" si="88"/>
        <v/>
      </c>
      <c r="M945" s="25" t="str">
        <f>IF(H945="","",IF(I945&lt;=0,"Shipped",IF(L945&lt;=AGE30,"Fresh",IF(L945&lt;=AGE60,"Watch",IF(L945&lt;=AGE90,"Aging","Old")))))</f>
        <v/>
      </c>
      <c r="N945" s="16" t="str">
        <f t="shared" si="89"/>
        <v/>
      </c>
    </row>
    <row r="946" spans="1:14" x14ac:dyDescent="0.2">
      <c r="A946" s="32"/>
      <c r="B946" s="27"/>
      <c r="C946" s="15" t="str">
        <f>IF(B946="","",IFERROR(INDEX(Items!$B$5:$B$19,MATCH(B946,Items!$A$5:$A$19,0)),"Unknown code"))</f>
        <v/>
      </c>
      <c r="D946" s="29"/>
      <c r="E946" s="18" t="str">
        <f>IF(B946="","",IFERROR(INDEX(Items!$C$5:$C$19,MATCH(B946,Items!$A$5:$A$19,0)),""))</f>
        <v/>
      </c>
      <c r="F946" s="18" t="str">
        <f t="shared" si="84"/>
        <v/>
      </c>
      <c r="G946" s="27"/>
      <c r="H946" s="23" t="str">
        <f>IF(OR(A946="",B946="",D946=""),"",IFERROR(INDEX(Items!$D$5:$D$19,MATCH(B946,Items!$A$5:$A$19,0))+SUMIFS(D$4:D945,B$4:B945,B946),""))</f>
        <v/>
      </c>
      <c r="I946" s="23" t="str">
        <f t="shared" si="85"/>
        <v/>
      </c>
      <c r="J946" s="23" t="str">
        <f t="shared" si="86"/>
        <v/>
      </c>
      <c r="K946" s="18" t="str">
        <f t="shared" si="87"/>
        <v/>
      </c>
      <c r="L946" s="16" t="str">
        <f t="shared" ca="1" si="88"/>
        <v/>
      </c>
      <c r="M946" s="25" t="str">
        <f>IF(H946="","",IF(I946&lt;=0,"Shipped",IF(L946&lt;=AGE30,"Fresh",IF(L946&lt;=AGE60,"Watch",IF(L946&lt;=AGE90,"Aging","Old")))))</f>
        <v/>
      </c>
      <c r="N946" s="16" t="str">
        <f t="shared" si="89"/>
        <v/>
      </c>
    </row>
    <row r="947" spans="1:14" x14ac:dyDescent="0.2">
      <c r="A947" s="32"/>
      <c r="B947" s="27"/>
      <c r="C947" s="15" t="str">
        <f>IF(B947="","",IFERROR(INDEX(Items!$B$5:$B$19,MATCH(B947,Items!$A$5:$A$19,0)),"Unknown code"))</f>
        <v/>
      </c>
      <c r="D947" s="29"/>
      <c r="E947" s="18" t="str">
        <f>IF(B947="","",IFERROR(INDEX(Items!$C$5:$C$19,MATCH(B947,Items!$A$5:$A$19,0)),""))</f>
        <v/>
      </c>
      <c r="F947" s="18" t="str">
        <f t="shared" si="84"/>
        <v/>
      </c>
      <c r="G947" s="27"/>
      <c r="H947" s="23" t="str">
        <f>IF(OR(A947="",B947="",D947=""),"",IFERROR(INDEX(Items!$D$5:$D$19,MATCH(B947,Items!$A$5:$A$19,0))+SUMIFS(D$4:D946,B$4:B946,B947),""))</f>
        <v/>
      </c>
      <c r="I947" s="23" t="str">
        <f t="shared" si="85"/>
        <v/>
      </c>
      <c r="J947" s="23" t="str">
        <f t="shared" si="86"/>
        <v/>
      </c>
      <c r="K947" s="18" t="str">
        <f t="shared" si="87"/>
        <v/>
      </c>
      <c r="L947" s="16" t="str">
        <f t="shared" ca="1" si="88"/>
        <v/>
      </c>
      <c r="M947" s="25" t="str">
        <f>IF(H947="","",IF(I947&lt;=0,"Shipped",IF(L947&lt;=AGE30,"Fresh",IF(L947&lt;=AGE60,"Watch",IF(L947&lt;=AGE90,"Aging","Old")))))</f>
        <v/>
      </c>
      <c r="N947" s="16" t="str">
        <f t="shared" si="89"/>
        <v/>
      </c>
    </row>
    <row r="948" spans="1:14" x14ac:dyDescent="0.2">
      <c r="A948" s="32"/>
      <c r="B948" s="27"/>
      <c r="C948" s="15" t="str">
        <f>IF(B948="","",IFERROR(INDEX(Items!$B$5:$B$19,MATCH(B948,Items!$A$5:$A$19,0)),"Unknown code"))</f>
        <v/>
      </c>
      <c r="D948" s="29"/>
      <c r="E948" s="18" t="str">
        <f>IF(B948="","",IFERROR(INDEX(Items!$C$5:$C$19,MATCH(B948,Items!$A$5:$A$19,0)),""))</f>
        <v/>
      </c>
      <c r="F948" s="18" t="str">
        <f t="shared" si="84"/>
        <v/>
      </c>
      <c r="G948" s="27"/>
      <c r="H948" s="23" t="str">
        <f>IF(OR(A948="",B948="",D948=""),"",IFERROR(INDEX(Items!$D$5:$D$19,MATCH(B948,Items!$A$5:$A$19,0))+SUMIFS(D$4:D947,B$4:B947,B948),""))</f>
        <v/>
      </c>
      <c r="I948" s="23" t="str">
        <f t="shared" si="85"/>
        <v/>
      </c>
      <c r="J948" s="23" t="str">
        <f t="shared" si="86"/>
        <v/>
      </c>
      <c r="K948" s="18" t="str">
        <f t="shared" si="87"/>
        <v/>
      </c>
      <c r="L948" s="16" t="str">
        <f t="shared" ca="1" si="88"/>
        <v/>
      </c>
      <c r="M948" s="25" t="str">
        <f>IF(H948="","",IF(I948&lt;=0,"Shipped",IF(L948&lt;=AGE30,"Fresh",IF(L948&lt;=AGE60,"Watch",IF(L948&lt;=AGE90,"Aging","Old")))))</f>
        <v/>
      </c>
      <c r="N948" s="16" t="str">
        <f t="shared" si="89"/>
        <v/>
      </c>
    </row>
    <row r="949" spans="1:14" x14ac:dyDescent="0.2">
      <c r="A949" s="32"/>
      <c r="B949" s="27"/>
      <c r="C949" s="15" t="str">
        <f>IF(B949="","",IFERROR(INDEX(Items!$B$5:$B$19,MATCH(B949,Items!$A$5:$A$19,0)),"Unknown code"))</f>
        <v/>
      </c>
      <c r="D949" s="29"/>
      <c r="E949" s="18" t="str">
        <f>IF(B949="","",IFERROR(INDEX(Items!$C$5:$C$19,MATCH(B949,Items!$A$5:$A$19,0)),""))</f>
        <v/>
      </c>
      <c r="F949" s="18" t="str">
        <f t="shared" si="84"/>
        <v/>
      </c>
      <c r="G949" s="27"/>
      <c r="H949" s="23" t="str">
        <f>IF(OR(A949="",B949="",D949=""),"",IFERROR(INDEX(Items!$D$5:$D$19,MATCH(B949,Items!$A$5:$A$19,0))+SUMIFS(D$4:D948,B$4:B948,B949),""))</f>
        <v/>
      </c>
      <c r="I949" s="23" t="str">
        <f t="shared" si="85"/>
        <v/>
      </c>
      <c r="J949" s="23" t="str">
        <f t="shared" si="86"/>
        <v/>
      </c>
      <c r="K949" s="18" t="str">
        <f t="shared" si="87"/>
        <v/>
      </c>
      <c r="L949" s="16" t="str">
        <f t="shared" ca="1" si="88"/>
        <v/>
      </c>
      <c r="M949" s="25" t="str">
        <f>IF(H949="","",IF(I949&lt;=0,"Shipped",IF(L949&lt;=AGE30,"Fresh",IF(L949&lt;=AGE60,"Watch",IF(L949&lt;=AGE90,"Aging","Old")))))</f>
        <v/>
      </c>
      <c r="N949" s="16" t="str">
        <f t="shared" si="89"/>
        <v/>
      </c>
    </row>
    <row r="950" spans="1:14" x14ac:dyDescent="0.2">
      <c r="A950" s="32"/>
      <c r="B950" s="27"/>
      <c r="C950" s="15" t="str">
        <f>IF(B950="","",IFERROR(INDEX(Items!$B$5:$B$19,MATCH(B950,Items!$A$5:$A$19,0)),"Unknown code"))</f>
        <v/>
      </c>
      <c r="D950" s="29"/>
      <c r="E950" s="18" t="str">
        <f>IF(B950="","",IFERROR(INDEX(Items!$C$5:$C$19,MATCH(B950,Items!$A$5:$A$19,0)),""))</f>
        <v/>
      </c>
      <c r="F950" s="18" t="str">
        <f t="shared" si="84"/>
        <v/>
      </c>
      <c r="G950" s="27"/>
      <c r="H950" s="23" t="str">
        <f>IF(OR(A950="",B950="",D950=""),"",IFERROR(INDEX(Items!$D$5:$D$19,MATCH(B950,Items!$A$5:$A$19,0))+SUMIFS(D$4:D949,B$4:B949,B950),""))</f>
        <v/>
      </c>
      <c r="I950" s="23" t="str">
        <f t="shared" si="85"/>
        <v/>
      </c>
      <c r="J950" s="23" t="str">
        <f t="shared" si="86"/>
        <v/>
      </c>
      <c r="K950" s="18" t="str">
        <f t="shared" si="87"/>
        <v/>
      </c>
      <c r="L950" s="16" t="str">
        <f t="shared" ca="1" si="88"/>
        <v/>
      </c>
      <c r="M950" s="25" t="str">
        <f>IF(H950="","",IF(I950&lt;=0,"Shipped",IF(L950&lt;=AGE30,"Fresh",IF(L950&lt;=AGE60,"Watch",IF(L950&lt;=AGE90,"Aging","Old")))))</f>
        <v/>
      </c>
      <c r="N950" s="16" t="str">
        <f t="shared" si="89"/>
        <v/>
      </c>
    </row>
    <row r="951" spans="1:14" x14ac:dyDescent="0.2">
      <c r="A951" s="32"/>
      <c r="B951" s="27"/>
      <c r="C951" s="15" t="str">
        <f>IF(B951="","",IFERROR(INDEX(Items!$B$5:$B$19,MATCH(B951,Items!$A$5:$A$19,0)),"Unknown code"))</f>
        <v/>
      </c>
      <c r="D951" s="29"/>
      <c r="E951" s="18" t="str">
        <f>IF(B951="","",IFERROR(INDEX(Items!$C$5:$C$19,MATCH(B951,Items!$A$5:$A$19,0)),""))</f>
        <v/>
      </c>
      <c r="F951" s="18" t="str">
        <f t="shared" si="84"/>
        <v/>
      </c>
      <c r="G951" s="27"/>
      <c r="H951" s="23" t="str">
        <f>IF(OR(A951="",B951="",D951=""),"",IFERROR(INDEX(Items!$D$5:$D$19,MATCH(B951,Items!$A$5:$A$19,0))+SUMIFS(D$4:D950,B$4:B950,B951),""))</f>
        <v/>
      </c>
      <c r="I951" s="23" t="str">
        <f t="shared" si="85"/>
        <v/>
      </c>
      <c r="J951" s="23" t="str">
        <f t="shared" si="86"/>
        <v/>
      </c>
      <c r="K951" s="18" t="str">
        <f t="shared" si="87"/>
        <v/>
      </c>
      <c r="L951" s="16" t="str">
        <f t="shared" ca="1" si="88"/>
        <v/>
      </c>
      <c r="M951" s="25" t="str">
        <f>IF(H951="","",IF(I951&lt;=0,"Shipped",IF(L951&lt;=AGE30,"Fresh",IF(L951&lt;=AGE60,"Watch",IF(L951&lt;=AGE90,"Aging","Old")))))</f>
        <v/>
      </c>
      <c r="N951" s="16" t="str">
        <f t="shared" si="89"/>
        <v/>
      </c>
    </row>
    <row r="952" spans="1:14" x14ac:dyDescent="0.2">
      <c r="A952" s="32"/>
      <c r="B952" s="27"/>
      <c r="C952" s="15" t="str">
        <f>IF(B952="","",IFERROR(INDEX(Items!$B$5:$B$19,MATCH(B952,Items!$A$5:$A$19,0)),"Unknown code"))</f>
        <v/>
      </c>
      <c r="D952" s="29"/>
      <c r="E952" s="18" t="str">
        <f>IF(B952="","",IFERROR(INDEX(Items!$C$5:$C$19,MATCH(B952,Items!$A$5:$A$19,0)),""))</f>
        <v/>
      </c>
      <c r="F952" s="18" t="str">
        <f t="shared" si="84"/>
        <v/>
      </c>
      <c r="G952" s="27"/>
      <c r="H952" s="23" t="str">
        <f>IF(OR(A952="",B952="",D952=""),"",IFERROR(INDEX(Items!$D$5:$D$19,MATCH(B952,Items!$A$5:$A$19,0))+SUMIFS(D$4:D951,B$4:B951,B952),""))</f>
        <v/>
      </c>
      <c r="I952" s="23" t="str">
        <f t="shared" si="85"/>
        <v/>
      </c>
      <c r="J952" s="23" t="str">
        <f t="shared" si="86"/>
        <v/>
      </c>
      <c r="K952" s="18" t="str">
        <f t="shared" si="87"/>
        <v/>
      </c>
      <c r="L952" s="16" t="str">
        <f t="shared" ca="1" si="88"/>
        <v/>
      </c>
      <c r="M952" s="25" t="str">
        <f>IF(H952="","",IF(I952&lt;=0,"Shipped",IF(L952&lt;=AGE30,"Fresh",IF(L952&lt;=AGE60,"Watch",IF(L952&lt;=AGE90,"Aging","Old")))))</f>
        <v/>
      </c>
      <c r="N952" s="16" t="str">
        <f t="shared" si="89"/>
        <v/>
      </c>
    </row>
    <row r="953" spans="1:14" x14ac:dyDescent="0.2">
      <c r="A953" s="32"/>
      <c r="B953" s="27"/>
      <c r="C953" s="15" t="str">
        <f>IF(B953="","",IFERROR(INDEX(Items!$B$5:$B$19,MATCH(B953,Items!$A$5:$A$19,0)),"Unknown code"))</f>
        <v/>
      </c>
      <c r="D953" s="29"/>
      <c r="E953" s="18" t="str">
        <f>IF(B953="","",IFERROR(INDEX(Items!$C$5:$C$19,MATCH(B953,Items!$A$5:$A$19,0)),""))</f>
        <v/>
      </c>
      <c r="F953" s="18" t="str">
        <f t="shared" si="84"/>
        <v/>
      </c>
      <c r="G953" s="27"/>
      <c r="H953" s="23" t="str">
        <f>IF(OR(A953="",B953="",D953=""),"",IFERROR(INDEX(Items!$D$5:$D$19,MATCH(B953,Items!$A$5:$A$19,0))+SUMIFS(D$4:D952,B$4:B952,B953),""))</f>
        <v/>
      </c>
      <c r="I953" s="23" t="str">
        <f t="shared" si="85"/>
        <v/>
      </c>
      <c r="J953" s="23" t="str">
        <f t="shared" si="86"/>
        <v/>
      </c>
      <c r="K953" s="18" t="str">
        <f t="shared" si="87"/>
        <v/>
      </c>
      <c r="L953" s="16" t="str">
        <f t="shared" ca="1" si="88"/>
        <v/>
      </c>
      <c r="M953" s="25" t="str">
        <f>IF(H953="","",IF(I953&lt;=0,"Shipped",IF(L953&lt;=AGE30,"Fresh",IF(L953&lt;=AGE60,"Watch",IF(L953&lt;=AGE90,"Aging","Old")))))</f>
        <v/>
      </c>
      <c r="N953" s="16" t="str">
        <f t="shared" si="89"/>
        <v/>
      </c>
    </row>
    <row r="954" spans="1:14" x14ac:dyDescent="0.2">
      <c r="A954" s="32"/>
      <c r="B954" s="27"/>
      <c r="C954" s="15" t="str">
        <f>IF(B954="","",IFERROR(INDEX(Items!$B$5:$B$19,MATCH(B954,Items!$A$5:$A$19,0)),"Unknown code"))</f>
        <v/>
      </c>
      <c r="D954" s="29"/>
      <c r="E954" s="18" t="str">
        <f>IF(B954="","",IFERROR(INDEX(Items!$C$5:$C$19,MATCH(B954,Items!$A$5:$A$19,0)),""))</f>
        <v/>
      </c>
      <c r="F954" s="18" t="str">
        <f t="shared" si="84"/>
        <v/>
      </c>
      <c r="G954" s="27"/>
      <c r="H954" s="23" t="str">
        <f>IF(OR(A954="",B954="",D954=""),"",IFERROR(INDEX(Items!$D$5:$D$19,MATCH(B954,Items!$A$5:$A$19,0))+SUMIFS(D$4:D953,B$4:B953,B954),""))</f>
        <v/>
      </c>
      <c r="I954" s="23" t="str">
        <f t="shared" si="85"/>
        <v/>
      </c>
      <c r="J954" s="23" t="str">
        <f t="shared" si="86"/>
        <v/>
      </c>
      <c r="K954" s="18" t="str">
        <f t="shared" si="87"/>
        <v/>
      </c>
      <c r="L954" s="16" t="str">
        <f t="shared" ca="1" si="88"/>
        <v/>
      </c>
      <c r="M954" s="25" t="str">
        <f>IF(H954="","",IF(I954&lt;=0,"Shipped",IF(L954&lt;=AGE30,"Fresh",IF(L954&lt;=AGE60,"Watch",IF(L954&lt;=AGE90,"Aging","Old")))))</f>
        <v/>
      </c>
      <c r="N954" s="16" t="str">
        <f t="shared" si="89"/>
        <v/>
      </c>
    </row>
    <row r="955" spans="1:14" x14ac:dyDescent="0.2">
      <c r="A955" s="32"/>
      <c r="B955" s="27"/>
      <c r="C955" s="15" t="str">
        <f>IF(B955="","",IFERROR(INDEX(Items!$B$5:$B$19,MATCH(B955,Items!$A$5:$A$19,0)),"Unknown code"))</f>
        <v/>
      </c>
      <c r="D955" s="29"/>
      <c r="E955" s="18" t="str">
        <f>IF(B955="","",IFERROR(INDEX(Items!$C$5:$C$19,MATCH(B955,Items!$A$5:$A$19,0)),""))</f>
        <v/>
      </c>
      <c r="F955" s="18" t="str">
        <f t="shared" si="84"/>
        <v/>
      </c>
      <c r="G955" s="27"/>
      <c r="H955" s="23" t="str">
        <f>IF(OR(A955="",B955="",D955=""),"",IFERROR(INDEX(Items!$D$5:$D$19,MATCH(B955,Items!$A$5:$A$19,0))+SUMIFS(D$4:D954,B$4:B954,B955),""))</f>
        <v/>
      </c>
      <c r="I955" s="23" t="str">
        <f t="shared" si="85"/>
        <v/>
      </c>
      <c r="J955" s="23" t="str">
        <f t="shared" si="86"/>
        <v/>
      </c>
      <c r="K955" s="18" t="str">
        <f t="shared" si="87"/>
        <v/>
      </c>
      <c r="L955" s="16" t="str">
        <f t="shared" ca="1" si="88"/>
        <v/>
      </c>
      <c r="M955" s="25" t="str">
        <f>IF(H955="","",IF(I955&lt;=0,"Shipped",IF(L955&lt;=AGE30,"Fresh",IF(L955&lt;=AGE60,"Watch",IF(L955&lt;=AGE90,"Aging","Old")))))</f>
        <v/>
      </c>
      <c r="N955" s="16" t="str">
        <f t="shared" si="89"/>
        <v/>
      </c>
    </row>
    <row r="956" spans="1:14" x14ac:dyDescent="0.2">
      <c r="A956" s="32"/>
      <c r="B956" s="27"/>
      <c r="C956" s="15" t="str">
        <f>IF(B956="","",IFERROR(INDEX(Items!$B$5:$B$19,MATCH(B956,Items!$A$5:$A$19,0)),"Unknown code"))</f>
        <v/>
      </c>
      <c r="D956" s="29"/>
      <c r="E956" s="18" t="str">
        <f>IF(B956="","",IFERROR(INDEX(Items!$C$5:$C$19,MATCH(B956,Items!$A$5:$A$19,0)),""))</f>
        <v/>
      </c>
      <c r="F956" s="18" t="str">
        <f t="shared" si="84"/>
        <v/>
      </c>
      <c r="G956" s="27"/>
      <c r="H956" s="23" t="str">
        <f>IF(OR(A956="",B956="",D956=""),"",IFERROR(INDEX(Items!$D$5:$D$19,MATCH(B956,Items!$A$5:$A$19,0))+SUMIFS(D$4:D955,B$4:B955,B956),""))</f>
        <v/>
      </c>
      <c r="I956" s="23" t="str">
        <f t="shared" si="85"/>
        <v/>
      </c>
      <c r="J956" s="23" t="str">
        <f t="shared" si="86"/>
        <v/>
      </c>
      <c r="K956" s="18" t="str">
        <f t="shared" si="87"/>
        <v/>
      </c>
      <c r="L956" s="16" t="str">
        <f t="shared" ca="1" si="88"/>
        <v/>
      </c>
      <c r="M956" s="25" t="str">
        <f>IF(H956="","",IF(I956&lt;=0,"Shipped",IF(L956&lt;=AGE30,"Fresh",IF(L956&lt;=AGE60,"Watch",IF(L956&lt;=AGE90,"Aging","Old")))))</f>
        <v/>
      </c>
      <c r="N956" s="16" t="str">
        <f t="shared" si="89"/>
        <v/>
      </c>
    </row>
    <row r="957" spans="1:14" x14ac:dyDescent="0.2">
      <c r="A957" s="32"/>
      <c r="B957" s="27"/>
      <c r="C957" s="15" t="str">
        <f>IF(B957="","",IFERROR(INDEX(Items!$B$5:$B$19,MATCH(B957,Items!$A$5:$A$19,0)),"Unknown code"))</f>
        <v/>
      </c>
      <c r="D957" s="29"/>
      <c r="E957" s="18" t="str">
        <f>IF(B957="","",IFERROR(INDEX(Items!$C$5:$C$19,MATCH(B957,Items!$A$5:$A$19,0)),""))</f>
        <v/>
      </c>
      <c r="F957" s="18" t="str">
        <f t="shared" si="84"/>
        <v/>
      </c>
      <c r="G957" s="27"/>
      <c r="H957" s="23" t="str">
        <f>IF(OR(A957="",B957="",D957=""),"",IFERROR(INDEX(Items!$D$5:$D$19,MATCH(B957,Items!$A$5:$A$19,0))+SUMIFS(D$4:D956,B$4:B956,B957),""))</f>
        <v/>
      </c>
      <c r="I957" s="23" t="str">
        <f t="shared" si="85"/>
        <v/>
      </c>
      <c r="J957" s="23" t="str">
        <f t="shared" si="86"/>
        <v/>
      </c>
      <c r="K957" s="18" t="str">
        <f t="shared" si="87"/>
        <v/>
      </c>
      <c r="L957" s="16" t="str">
        <f t="shared" ca="1" si="88"/>
        <v/>
      </c>
      <c r="M957" s="25" t="str">
        <f>IF(H957="","",IF(I957&lt;=0,"Shipped",IF(L957&lt;=AGE30,"Fresh",IF(L957&lt;=AGE60,"Watch",IF(L957&lt;=AGE90,"Aging","Old")))))</f>
        <v/>
      </c>
      <c r="N957" s="16" t="str">
        <f t="shared" si="89"/>
        <v/>
      </c>
    </row>
    <row r="958" spans="1:14" x14ac:dyDescent="0.2">
      <c r="A958" s="32"/>
      <c r="B958" s="27"/>
      <c r="C958" s="15" t="str">
        <f>IF(B958="","",IFERROR(INDEX(Items!$B$5:$B$19,MATCH(B958,Items!$A$5:$A$19,0)),"Unknown code"))</f>
        <v/>
      </c>
      <c r="D958" s="29"/>
      <c r="E958" s="18" t="str">
        <f>IF(B958="","",IFERROR(INDEX(Items!$C$5:$C$19,MATCH(B958,Items!$A$5:$A$19,0)),""))</f>
        <v/>
      </c>
      <c r="F958" s="18" t="str">
        <f t="shared" si="84"/>
        <v/>
      </c>
      <c r="G958" s="27"/>
      <c r="H958" s="23" t="str">
        <f>IF(OR(A958="",B958="",D958=""),"",IFERROR(INDEX(Items!$D$5:$D$19,MATCH(B958,Items!$A$5:$A$19,0))+SUMIFS(D$4:D957,B$4:B957,B958),""))</f>
        <v/>
      </c>
      <c r="I958" s="23" t="str">
        <f t="shared" si="85"/>
        <v/>
      </c>
      <c r="J958" s="23" t="str">
        <f t="shared" si="86"/>
        <v/>
      </c>
      <c r="K958" s="18" t="str">
        <f t="shared" si="87"/>
        <v/>
      </c>
      <c r="L958" s="16" t="str">
        <f t="shared" ca="1" si="88"/>
        <v/>
      </c>
      <c r="M958" s="25" t="str">
        <f>IF(H958="","",IF(I958&lt;=0,"Shipped",IF(L958&lt;=AGE30,"Fresh",IF(L958&lt;=AGE60,"Watch",IF(L958&lt;=AGE90,"Aging","Old")))))</f>
        <v/>
      </c>
      <c r="N958" s="16" t="str">
        <f t="shared" si="89"/>
        <v/>
      </c>
    </row>
    <row r="959" spans="1:14" x14ac:dyDescent="0.2">
      <c r="A959" s="32"/>
      <c r="B959" s="27"/>
      <c r="C959" s="15" t="str">
        <f>IF(B959="","",IFERROR(INDEX(Items!$B$5:$B$19,MATCH(B959,Items!$A$5:$A$19,0)),"Unknown code"))</f>
        <v/>
      </c>
      <c r="D959" s="29"/>
      <c r="E959" s="18" t="str">
        <f>IF(B959="","",IFERROR(INDEX(Items!$C$5:$C$19,MATCH(B959,Items!$A$5:$A$19,0)),""))</f>
        <v/>
      </c>
      <c r="F959" s="18" t="str">
        <f t="shared" si="84"/>
        <v/>
      </c>
      <c r="G959" s="27"/>
      <c r="H959" s="23" t="str">
        <f>IF(OR(A959="",B959="",D959=""),"",IFERROR(INDEX(Items!$D$5:$D$19,MATCH(B959,Items!$A$5:$A$19,0))+SUMIFS(D$4:D958,B$4:B958,B959),""))</f>
        <v/>
      </c>
      <c r="I959" s="23" t="str">
        <f t="shared" si="85"/>
        <v/>
      </c>
      <c r="J959" s="23" t="str">
        <f t="shared" si="86"/>
        <v/>
      </c>
      <c r="K959" s="18" t="str">
        <f t="shared" si="87"/>
        <v/>
      </c>
      <c r="L959" s="16" t="str">
        <f t="shared" ca="1" si="88"/>
        <v/>
      </c>
      <c r="M959" s="25" t="str">
        <f>IF(H959="","",IF(I959&lt;=0,"Shipped",IF(L959&lt;=AGE30,"Fresh",IF(L959&lt;=AGE60,"Watch",IF(L959&lt;=AGE90,"Aging","Old")))))</f>
        <v/>
      </c>
      <c r="N959" s="16" t="str">
        <f t="shared" si="89"/>
        <v/>
      </c>
    </row>
    <row r="960" spans="1:14" x14ac:dyDescent="0.2">
      <c r="A960" s="32"/>
      <c r="B960" s="27"/>
      <c r="C960" s="15" t="str">
        <f>IF(B960="","",IFERROR(INDEX(Items!$B$5:$B$19,MATCH(B960,Items!$A$5:$A$19,0)),"Unknown code"))</f>
        <v/>
      </c>
      <c r="D960" s="29"/>
      <c r="E960" s="18" t="str">
        <f>IF(B960="","",IFERROR(INDEX(Items!$C$5:$C$19,MATCH(B960,Items!$A$5:$A$19,0)),""))</f>
        <v/>
      </c>
      <c r="F960" s="18" t="str">
        <f t="shared" si="84"/>
        <v/>
      </c>
      <c r="G960" s="27"/>
      <c r="H960" s="23" t="str">
        <f>IF(OR(A960="",B960="",D960=""),"",IFERROR(INDEX(Items!$D$5:$D$19,MATCH(B960,Items!$A$5:$A$19,0))+SUMIFS(D$4:D959,B$4:B959,B960),""))</f>
        <v/>
      </c>
      <c r="I960" s="23" t="str">
        <f t="shared" si="85"/>
        <v/>
      </c>
      <c r="J960" s="23" t="str">
        <f t="shared" si="86"/>
        <v/>
      </c>
      <c r="K960" s="18" t="str">
        <f t="shared" si="87"/>
        <v/>
      </c>
      <c r="L960" s="16" t="str">
        <f t="shared" ca="1" si="88"/>
        <v/>
      </c>
      <c r="M960" s="25" t="str">
        <f>IF(H960="","",IF(I960&lt;=0,"Shipped",IF(L960&lt;=AGE30,"Fresh",IF(L960&lt;=AGE60,"Watch",IF(L960&lt;=AGE90,"Aging","Old")))))</f>
        <v/>
      </c>
      <c r="N960" s="16" t="str">
        <f t="shared" si="89"/>
        <v/>
      </c>
    </row>
    <row r="961" spans="1:14" x14ac:dyDescent="0.2">
      <c r="A961" s="32"/>
      <c r="B961" s="27"/>
      <c r="C961" s="15" t="str">
        <f>IF(B961="","",IFERROR(INDEX(Items!$B$5:$B$19,MATCH(B961,Items!$A$5:$A$19,0)),"Unknown code"))</f>
        <v/>
      </c>
      <c r="D961" s="29"/>
      <c r="E961" s="18" t="str">
        <f>IF(B961="","",IFERROR(INDEX(Items!$C$5:$C$19,MATCH(B961,Items!$A$5:$A$19,0)),""))</f>
        <v/>
      </c>
      <c r="F961" s="18" t="str">
        <f t="shared" si="84"/>
        <v/>
      </c>
      <c r="G961" s="27"/>
      <c r="H961" s="23" t="str">
        <f>IF(OR(A961="",B961="",D961=""),"",IFERROR(INDEX(Items!$D$5:$D$19,MATCH(B961,Items!$A$5:$A$19,0))+SUMIFS(D$4:D960,B$4:B960,B961),""))</f>
        <v/>
      </c>
      <c r="I961" s="23" t="str">
        <f t="shared" si="85"/>
        <v/>
      </c>
      <c r="J961" s="23" t="str">
        <f t="shared" si="86"/>
        <v/>
      </c>
      <c r="K961" s="18" t="str">
        <f t="shared" si="87"/>
        <v/>
      </c>
      <c r="L961" s="16" t="str">
        <f t="shared" ca="1" si="88"/>
        <v/>
      </c>
      <c r="M961" s="25" t="str">
        <f>IF(H961="","",IF(I961&lt;=0,"Shipped",IF(L961&lt;=AGE30,"Fresh",IF(L961&lt;=AGE60,"Watch",IF(L961&lt;=AGE90,"Aging","Old")))))</f>
        <v/>
      </c>
      <c r="N961" s="16" t="str">
        <f t="shared" si="89"/>
        <v/>
      </c>
    </row>
    <row r="962" spans="1:14" x14ac:dyDescent="0.2">
      <c r="A962" s="32"/>
      <c r="B962" s="27"/>
      <c r="C962" s="15" t="str">
        <f>IF(B962="","",IFERROR(INDEX(Items!$B$5:$B$19,MATCH(B962,Items!$A$5:$A$19,0)),"Unknown code"))</f>
        <v/>
      </c>
      <c r="D962" s="29"/>
      <c r="E962" s="18" t="str">
        <f>IF(B962="","",IFERROR(INDEX(Items!$C$5:$C$19,MATCH(B962,Items!$A$5:$A$19,0)),""))</f>
        <v/>
      </c>
      <c r="F962" s="18" t="str">
        <f t="shared" si="84"/>
        <v/>
      </c>
      <c r="G962" s="27"/>
      <c r="H962" s="23" t="str">
        <f>IF(OR(A962="",B962="",D962=""),"",IFERROR(INDEX(Items!$D$5:$D$19,MATCH(B962,Items!$A$5:$A$19,0))+SUMIFS(D$4:D961,B$4:B961,B962),""))</f>
        <v/>
      </c>
      <c r="I962" s="23" t="str">
        <f t="shared" si="85"/>
        <v/>
      </c>
      <c r="J962" s="23" t="str">
        <f t="shared" si="86"/>
        <v/>
      </c>
      <c r="K962" s="18" t="str">
        <f t="shared" si="87"/>
        <v/>
      </c>
      <c r="L962" s="16" t="str">
        <f t="shared" ca="1" si="88"/>
        <v/>
      </c>
      <c r="M962" s="25" t="str">
        <f>IF(H962="","",IF(I962&lt;=0,"Shipped",IF(L962&lt;=AGE30,"Fresh",IF(L962&lt;=AGE60,"Watch",IF(L962&lt;=AGE90,"Aging","Old")))))</f>
        <v/>
      </c>
      <c r="N962" s="16" t="str">
        <f t="shared" si="89"/>
        <v/>
      </c>
    </row>
    <row r="963" spans="1:14" x14ac:dyDescent="0.2">
      <c r="A963" s="32"/>
      <c r="B963" s="27"/>
      <c r="C963" s="15" t="str">
        <f>IF(B963="","",IFERROR(INDEX(Items!$B$5:$B$19,MATCH(B963,Items!$A$5:$A$19,0)),"Unknown code"))</f>
        <v/>
      </c>
      <c r="D963" s="29"/>
      <c r="E963" s="18" t="str">
        <f>IF(B963="","",IFERROR(INDEX(Items!$C$5:$C$19,MATCH(B963,Items!$A$5:$A$19,0)),""))</f>
        <v/>
      </c>
      <c r="F963" s="18" t="str">
        <f t="shared" si="84"/>
        <v/>
      </c>
      <c r="G963" s="27"/>
      <c r="H963" s="23" t="str">
        <f>IF(OR(A963="",B963="",D963=""),"",IFERROR(INDEX(Items!$D$5:$D$19,MATCH(B963,Items!$A$5:$A$19,0))+SUMIFS(D$4:D962,B$4:B962,B963),""))</f>
        <v/>
      </c>
      <c r="I963" s="23" t="str">
        <f t="shared" si="85"/>
        <v/>
      </c>
      <c r="J963" s="23" t="str">
        <f t="shared" si="86"/>
        <v/>
      </c>
      <c r="K963" s="18" t="str">
        <f t="shared" si="87"/>
        <v/>
      </c>
      <c r="L963" s="16" t="str">
        <f t="shared" ca="1" si="88"/>
        <v/>
      </c>
      <c r="M963" s="25" t="str">
        <f>IF(H963="","",IF(I963&lt;=0,"Shipped",IF(L963&lt;=AGE30,"Fresh",IF(L963&lt;=AGE60,"Watch",IF(L963&lt;=AGE90,"Aging","Old")))))</f>
        <v/>
      </c>
      <c r="N963" s="16" t="str">
        <f t="shared" si="89"/>
        <v/>
      </c>
    </row>
    <row r="964" spans="1:14" x14ac:dyDescent="0.2">
      <c r="A964" s="32"/>
      <c r="B964" s="27"/>
      <c r="C964" s="15" t="str">
        <f>IF(B964="","",IFERROR(INDEX(Items!$B$5:$B$19,MATCH(B964,Items!$A$5:$A$19,0)),"Unknown code"))</f>
        <v/>
      </c>
      <c r="D964" s="29"/>
      <c r="E964" s="18" t="str">
        <f>IF(B964="","",IFERROR(INDEX(Items!$C$5:$C$19,MATCH(B964,Items!$A$5:$A$19,0)),""))</f>
        <v/>
      </c>
      <c r="F964" s="18" t="str">
        <f t="shared" si="84"/>
        <v/>
      </c>
      <c r="G964" s="27"/>
      <c r="H964" s="23" t="str">
        <f>IF(OR(A964="",B964="",D964=""),"",IFERROR(INDEX(Items!$D$5:$D$19,MATCH(B964,Items!$A$5:$A$19,0))+SUMIFS(D$4:D963,B$4:B963,B964),""))</f>
        <v/>
      </c>
      <c r="I964" s="23" t="str">
        <f t="shared" si="85"/>
        <v/>
      </c>
      <c r="J964" s="23" t="str">
        <f t="shared" si="86"/>
        <v/>
      </c>
      <c r="K964" s="18" t="str">
        <f t="shared" si="87"/>
        <v/>
      </c>
      <c r="L964" s="16" t="str">
        <f t="shared" ca="1" si="88"/>
        <v/>
      </c>
      <c r="M964" s="25" t="str">
        <f>IF(H964="","",IF(I964&lt;=0,"Shipped",IF(L964&lt;=AGE30,"Fresh",IF(L964&lt;=AGE60,"Watch",IF(L964&lt;=AGE90,"Aging","Old")))))</f>
        <v/>
      </c>
      <c r="N964" s="16" t="str">
        <f t="shared" si="89"/>
        <v/>
      </c>
    </row>
    <row r="965" spans="1:14" x14ac:dyDescent="0.2">
      <c r="A965" s="32"/>
      <c r="B965" s="27"/>
      <c r="C965" s="15" t="str">
        <f>IF(B965="","",IFERROR(INDEX(Items!$B$5:$B$19,MATCH(B965,Items!$A$5:$A$19,0)),"Unknown code"))</f>
        <v/>
      </c>
      <c r="D965" s="29"/>
      <c r="E965" s="18" t="str">
        <f>IF(B965="","",IFERROR(INDEX(Items!$C$5:$C$19,MATCH(B965,Items!$A$5:$A$19,0)),""))</f>
        <v/>
      </c>
      <c r="F965" s="18" t="str">
        <f t="shared" ref="F965:F1004" si="90">IF(OR(D965="",E965=""),"",D965*E965)</f>
        <v/>
      </c>
      <c r="G965" s="27"/>
      <c r="H965" s="23" t="str">
        <f>IF(OR(A965="",B965="",D965=""),"",IFERROR(INDEX(Items!$D$5:$D$19,MATCH(B965,Items!$A$5:$A$19,0))+SUMIFS(D$4:D964,B$4:B964,B965),""))</f>
        <v/>
      </c>
      <c r="I965" s="23" t="str">
        <f t="shared" ref="I965:I1004" si="91">IF(H965="","",MAX(0,MIN(D965,H965+D965-TotalShipped)))</f>
        <v/>
      </c>
      <c r="J965" s="23" t="str">
        <f t="shared" ref="J965:J1004" si="92">IF(H965="","",D965-I965)</f>
        <v/>
      </c>
      <c r="K965" s="18" t="str">
        <f t="shared" ref="K965:K1004" si="93">IF(OR(H965="",E965=""),"",I965*E965)</f>
        <v/>
      </c>
      <c r="L965" s="16" t="str">
        <f t="shared" ref="L965:L1004" ca="1" si="94">IF(H965="","",IF(I965&gt;0,TODAY()-A965,""))</f>
        <v/>
      </c>
      <c r="M965" s="25" t="str">
        <f>IF(H965="","",IF(I965&lt;=0,"Shipped",IF(L965&lt;=AGE30,"Fresh",IF(L965&lt;=AGE60,"Watch",IF(L965&lt;=AGE90,"Aging","Old")))))</f>
        <v/>
      </c>
      <c r="N965" s="16" t="str">
        <f t="shared" ref="N965:N1004" si="95">IF(H965="","",J965*A965)</f>
        <v/>
      </c>
    </row>
    <row r="966" spans="1:14" x14ac:dyDescent="0.2">
      <c r="A966" s="32"/>
      <c r="B966" s="27"/>
      <c r="C966" s="15" t="str">
        <f>IF(B966="","",IFERROR(INDEX(Items!$B$5:$B$19,MATCH(B966,Items!$A$5:$A$19,0)),"Unknown code"))</f>
        <v/>
      </c>
      <c r="D966" s="29"/>
      <c r="E966" s="18" t="str">
        <f>IF(B966="","",IFERROR(INDEX(Items!$C$5:$C$19,MATCH(B966,Items!$A$5:$A$19,0)),""))</f>
        <v/>
      </c>
      <c r="F966" s="18" t="str">
        <f t="shared" si="90"/>
        <v/>
      </c>
      <c r="G966" s="27"/>
      <c r="H966" s="23" t="str">
        <f>IF(OR(A966="",B966="",D966=""),"",IFERROR(INDEX(Items!$D$5:$D$19,MATCH(B966,Items!$A$5:$A$19,0))+SUMIFS(D$4:D965,B$4:B965,B966),""))</f>
        <v/>
      </c>
      <c r="I966" s="23" t="str">
        <f t="shared" si="91"/>
        <v/>
      </c>
      <c r="J966" s="23" t="str">
        <f t="shared" si="92"/>
        <v/>
      </c>
      <c r="K966" s="18" t="str">
        <f t="shared" si="93"/>
        <v/>
      </c>
      <c r="L966" s="16" t="str">
        <f t="shared" ca="1" si="94"/>
        <v/>
      </c>
      <c r="M966" s="25" t="str">
        <f>IF(H966="","",IF(I966&lt;=0,"Shipped",IF(L966&lt;=AGE30,"Fresh",IF(L966&lt;=AGE60,"Watch",IF(L966&lt;=AGE90,"Aging","Old")))))</f>
        <v/>
      </c>
      <c r="N966" s="16" t="str">
        <f t="shared" si="95"/>
        <v/>
      </c>
    </row>
    <row r="967" spans="1:14" x14ac:dyDescent="0.2">
      <c r="A967" s="32"/>
      <c r="B967" s="27"/>
      <c r="C967" s="15" t="str">
        <f>IF(B967="","",IFERROR(INDEX(Items!$B$5:$B$19,MATCH(B967,Items!$A$5:$A$19,0)),"Unknown code"))</f>
        <v/>
      </c>
      <c r="D967" s="29"/>
      <c r="E967" s="18" t="str">
        <f>IF(B967="","",IFERROR(INDEX(Items!$C$5:$C$19,MATCH(B967,Items!$A$5:$A$19,0)),""))</f>
        <v/>
      </c>
      <c r="F967" s="18" t="str">
        <f t="shared" si="90"/>
        <v/>
      </c>
      <c r="G967" s="27"/>
      <c r="H967" s="23" t="str">
        <f>IF(OR(A967="",B967="",D967=""),"",IFERROR(INDEX(Items!$D$5:$D$19,MATCH(B967,Items!$A$5:$A$19,0))+SUMIFS(D$4:D966,B$4:B966,B967),""))</f>
        <v/>
      </c>
      <c r="I967" s="23" t="str">
        <f t="shared" si="91"/>
        <v/>
      </c>
      <c r="J967" s="23" t="str">
        <f t="shared" si="92"/>
        <v/>
      </c>
      <c r="K967" s="18" t="str">
        <f t="shared" si="93"/>
        <v/>
      </c>
      <c r="L967" s="16" t="str">
        <f t="shared" ca="1" si="94"/>
        <v/>
      </c>
      <c r="M967" s="25" t="str">
        <f>IF(H967="","",IF(I967&lt;=0,"Shipped",IF(L967&lt;=AGE30,"Fresh",IF(L967&lt;=AGE60,"Watch",IF(L967&lt;=AGE90,"Aging","Old")))))</f>
        <v/>
      </c>
      <c r="N967" s="16" t="str">
        <f t="shared" si="95"/>
        <v/>
      </c>
    </row>
    <row r="968" spans="1:14" x14ac:dyDescent="0.2">
      <c r="A968" s="32"/>
      <c r="B968" s="27"/>
      <c r="C968" s="15" t="str">
        <f>IF(B968="","",IFERROR(INDEX(Items!$B$5:$B$19,MATCH(B968,Items!$A$5:$A$19,0)),"Unknown code"))</f>
        <v/>
      </c>
      <c r="D968" s="29"/>
      <c r="E968" s="18" t="str">
        <f>IF(B968="","",IFERROR(INDEX(Items!$C$5:$C$19,MATCH(B968,Items!$A$5:$A$19,0)),""))</f>
        <v/>
      </c>
      <c r="F968" s="18" t="str">
        <f t="shared" si="90"/>
        <v/>
      </c>
      <c r="G968" s="27"/>
      <c r="H968" s="23" t="str">
        <f>IF(OR(A968="",B968="",D968=""),"",IFERROR(INDEX(Items!$D$5:$D$19,MATCH(B968,Items!$A$5:$A$19,0))+SUMIFS(D$4:D967,B$4:B967,B968),""))</f>
        <v/>
      </c>
      <c r="I968" s="23" t="str">
        <f t="shared" si="91"/>
        <v/>
      </c>
      <c r="J968" s="23" t="str">
        <f t="shared" si="92"/>
        <v/>
      </c>
      <c r="K968" s="18" t="str">
        <f t="shared" si="93"/>
        <v/>
      </c>
      <c r="L968" s="16" t="str">
        <f t="shared" ca="1" si="94"/>
        <v/>
      </c>
      <c r="M968" s="25" t="str">
        <f>IF(H968="","",IF(I968&lt;=0,"Shipped",IF(L968&lt;=AGE30,"Fresh",IF(L968&lt;=AGE60,"Watch",IF(L968&lt;=AGE90,"Aging","Old")))))</f>
        <v/>
      </c>
      <c r="N968" s="16" t="str">
        <f t="shared" si="95"/>
        <v/>
      </c>
    </row>
    <row r="969" spans="1:14" x14ac:dyDescent="0.2">
      <c r="A969" s="32"/>
      <c r="B969" s="27"/>
      <c r="C969" s="15" t="str">
        <f>IF(B969="","",IFERROR(INDEX(Items!$B$5:$B$19,MATCH(B969,Items!$A$5:$A$19,0)),"Unknown code"))</f>
        <v/>
      </c>
      <c r="D969" s="29"/>
      <c r="E969" s="18" t="str">
        <f>IF(B969="","",IFERROR(INDEX(Items!$C$5:$C$19,MATCH(B969,Items!$A$5:$A$19,0)),""))</f>
        <v/>
      </c>
      <c r="F969" s="18" t="str">
        <f t="shared" si="90"/>
        <v/>
      </c>
      <c r="G969" s="27"/>
      <c r="H969" s="23" t="str">
        <f>IF(OR(A969="",B969="",D969=""),"",IFERROR(INDEX(Items!$D$5:$D$19,MATCH(B969,Items!$A$5:$A$19,0))+SUMIFS(D$4:D968,B$4:B968,B969),""))</f>
        <v/>
      </c>
      <c r="I969" s="23" t="str">
        <f t="shared" si="91"/>
        <v/>
      </c>
      <c r="J969" s="23" t="str">
        <f t="shared" si="92"/>
        <v/>
      </c>
      <c r="K969" s="18" t="str">
        <f t="shared" si="93"/>
        <v/>
      </c>
      <c r="L969" s="16" t="str">
        <f t="shared" ca="1" si="94"/>
        <v/>
      </c>
      <c r="M969" s="25" t="str">
        <f>IF(H969="","",IF(I969&lt;=0,"Shipped",IF(L969&lt;=AGE30,"Fresh",IF(L969&lt;=AGE60,"Watch",IF(L969&lt;=AGE90,"Aging","Old")))))</f>
        <v/>
      </c>
      <c r="N969" s="16" t="str">
        <f t="shared" si="95"/>
        <v/>
      </c>
    </row>
    <row r="970" spans="1:14" x14ac:dyDescent="0.2">
      <c r="A970" s="32"/>
      <c r="B970" s="27"/>
      <c r="C970" s="15" t="str">
        <f>IF(B970="","",IFERROR(INDEX(Items!$B$5:$B$19,MATCH(B970,Items!$A$5:$A$19,0)),"Unknown code"))</f>
        <v/>
      </c>
      <c r="D970" s="29"/>
      <c r="E970" s="18" t="str">
        <f>IF(B970="","",IFERROR(INDEX(Items!$C$5:$C$19,MATCH(B970,Items!$A$5:$A$19,0)),""))</f>
        <v/>
      </c>
      <c r="F970" s="18" t="str">
        <f t="shared" si="90"/>
        <v/>
      </c>
      <c r="G970" s="27"/>
      <c r="H970" s="23" t="str">
        <f>IF(OR(A970="",B970="",D970=""),"",IFERROR(INDEX(Items!$D$5:$D$19,MATCH(B970,Items!$A$5:$A$19,0))+SUMIFS(D$4:D969,B$4:B969,B970),""))</f>
        <v/>
      </c>
      <c r="I970" s="23" t="str">
        <f t="shared" si="91"/>
        <v/>
      </c>
      <c r="J970" s="23" t="str">
        <f t="shared" si="92"/>
        <v/>
      </c>
      <c r="K970" s="18" t="str">
        <f t="shared" si="93"/>
        <v/>
      </c>
      <c r="L970" s="16" t="str">
        <f t="shared" ca="1" si="94"/>
        <v/>
      </c>
      <c r="M970" s="25" t="str">
        <f>IF(H970="","",IF(I970&lt;=0,"Shipped",IF(L970&lt;=AGE30,"Fresh",IF(L970&lt;=AGE60,"Watch",IF(L970&lt;=AGE90,"Aging","Old")))))</f>
        <v/>
      </c>
      <c r="N970" s="16" t="str">
        <f t="shared" si="95"/>
        <v/>
      </c>
    </row>
    <row r="971" spans="1:14" x14ac:dyDescent="0.2">
      <c r="A971" s="32"/>
      <c r="B971" s="27"/>
      <c r="C971" s="15" t="str">
        <f>IF(B971="","",IFERROR(INDEX(Items!$B$5:$B$19,MATCH(B971,Items!$A$5:$A$19,0)),"Unknown code"))</f>
        <v/>
      </c>
      <c r="D971" s="29"/>
      <c r="E971" s="18" t="str">
        <f>IF(B971="","",IFERROR(INDEX(Items!$C$5:$C$19,MATCH(B971,Items!$A$5:$A$19,0)),""))</f>
        <v/>
      </c>
      <c r="F971" s="18" t="str">
        <f t="shared" si="90"/>
        <v/>
      </c>
      <c r="G971" s="27"/>
      <c r="H971" s="23" t="str">
        <f>IF(OR(A971="",B971="",D971=""),"",IFERROR(INDEX(Items!$D$5:$D$19,MATCH(B971,Items!$A$5:$A$19,0))+SUMIFS(D$4:D970,B$4:B970,B971),""))</f>
        <v/>
      </c>
      <c r="I971" s="23" t="str">
        <f t="shared" si="91"/>
        <v/>
      </c>
      <c r="J971" s="23" t="str">
        <f t="shared" si="92"/>
        <v/>
      </c>
      <c r="K971" s="18" t="str">
        <f t="shared" si="93"/>
        <v/>
      </c>
      <c r="L971" s="16" t="str">
        <f t="shared" ca="1" si="94"/>
        <v/>
      </c>
      <c r="M971" s="25" t="str">
        <f>IF(H971="","",IF(I971&lt;=0,"Shipped",IF(L971&lt;=AGE30,"Fresh",IF(L971&lt;=AGE60,"Watch",IF(L971&lt;=AGE90,"Aging","Old")))))</f>
        <v/>
      </c>
      <c r="N971" s="16" t="str">
        <f t="shared" si="95"/>
        <v/>
      </c>
    </row>
    <row r="972" spans="1:14" x14ac:dyDescent="0.2">
      <c r="A972" s="32"/>
      <c r="B972" s="27"/>
      <c r="C972" s="15" t="str">
        <f>IF(B972="","",IFERROR(INDEX(Items!$B$5:$B$19,MATCH(B972,Items!$A$5:$A$19,0)),"Unknown code"))</f>
        <v/>
      </c>
      <c r="D972" s="29"/>
      <c r="E972" s="18" t="str">
        <f>IF(B972="","",IFERROR(INDEX(Items!$C$5:$C$19,MATCH(B972,Items!$A$5:$A$19,0)),""))</f>
        <v/>
      </c>
      <c r="F972" s="18" t="str">
        <f t="shared" si="90"/>
        <v/>
      </c>
      <c r="G972" s="27"/>
      <c r="H972" s="23" t="str">
        <f>IF(OR(A972="",B972="",D972=""),"",IFERROR(INDEX(Items!$D$5:$D$19,MATCH(B972,Items!$A$5:$A$19,0))+SUMIFS(D$4:D971,B$4:B971,B972),""))</f>
        <v/>
      </c>
      <c r="I972" s="23" t="str">
        <f t="shared" si="91"/>
        <v/>
      </c>
      <c r="J972" s="23" t="str">
        <f t="shared" si="92"/>
        <v/>
      </c>
      <c r="K972" s="18" t="str">
        <f t="shared" si="93"/>
        <v/>
      </c>
      <c r="L972" s="16" t="str">
        <f t="shared" ca="1" si="94"/>
        <v/>
      </c>
      <c r="M972" s="25" t="str">
        <f>IF(H972="","",IF(I972&lt;=0,"Shipped",IF(L972&lt;=AGE30,"Fresh",IF(L972&lt;=AGE60,"Watch",IF(L972&lt;=AGE90,"Aging","Old")))))</f>
        <v/>
      </c>
      <c r="N972" s="16" t="str">
        <f t="shared" si="95"/>
        <v/>
      </c>
    </row>
    <row r="973" spans="1:14" x14ac:dyDescent="0.2">
      <c r="A973" s="32"/>
      <c r="B973" s="27"/>
      <c r="C973" s="15" t="str">
        <f>IF(B973="","",IFERROR(INDEX(Items!$B$5:$B$19,MATCH(B973,Items!$A$5:$A$19,0)),"Unknown code"))</f>
        <v/>
      </c>
      <c r="D973" s="29"/>
      <c r="E973" s="18" t="str">
        <f>IF(B973="","",IFERROR(INDEX(Items!$C$5:$C$19,MATCH(B973,Items!$A$5:$A$19,0)),""))</f>
        <v/>
      </c>
      <c r="F973" s="18" t="str">
        <f t="shared" si="90"/>
        <v/>
      </c>
      <c r="G973" s="27"/>
      <c r="H973" s="23" t="str">
        <f>IF(OR(A973="",B973="",D973=""),"",IFERROR(INDEX(Items!$D$5:$D$19,MATCH(B973,Items!$A$5:$A$19,0))+SUMIFS(D$4:D972,B$4:B972,B973),""))</f>
        <v/>
      </c>
      <c r="I973" s="23" t="str">
        <f t="shared" si="91"/>
        <v/>
      </c>
      <c r="J973" s="23" t="str">
        <f t="shared" si="92"/>
        <v/>
      </c>
      <c r="K973" s="18" t="str">
        <f t="shared" si="93"/>
        <v/>
      </c>
      <c r="L973" s="16" t="str">
        <f t="shared" ca="1" si="94"/>
        <v/>
      </c>
      <c r="M973" s="25" t="str">
        <f>IF(H973="","",IF(I973&lt;=0,"Shipped",IF(L973&lt;=AGE30,"Fresh",IF(L973&lt;=AGE60,"Watch",IF(L973&lt;=AGE90,"Aging","Old")))))</f>
        <v/>
      </c>
      <c r="N973" s="16" t="str">
        <f t="shared" si="95"/>
        <v/>
      </c>
    </row>
    <row r="974" spans="1:14" x14ac:dyDescent="0.2">
      <c r="A974" s="32"/>
      <c r="B974" s="27"/>
      <c r="C974" s="15" t="str">
        <f>IF(B974="","",IFERROR(INDEX(Items!$B$5:$B$19,MATCH(B974,Items!$A$5:$A$19,0)),"Unknown code"))</f>
        <v/>
      </c>
      <c r="D974" s="29"/>
      <c r="E974" s="18" t="str">
        <f>IF(B974="","",IFERROR(INDEX(Items!$C$5:$C$19,MATCH(B974,Items!$A$5:$A$19,0)),""))</f>
        <v/>
      </c>
      <c r="F974" s="18" t="str">
        <f t="shared" si="90"/>
        <v/>
      </c>
      <c r="G974" s="27"/>
      <c r="H974" s="23" t="str">
        <f>IF(OR(A974="",B974="",D974=""),"",IFERROR(INDEX(Items!$D$5:$D$19,MATCH(B974,Items!$A$5:$A$19,0))+SUMIFS(D$4:D973,B$4:B973,B974),""))</f>
        <v/>
      </c>
      <c r="I974" s="23" t="str">
        <f t="shared" si="91"/>
        <v/>
      </c>
      <c r="J974" s="23" t="str">
        <f t="shared" si="92"/>
        <v/>
      </c>
      <c r="K974" s="18" t="str">
        <f t="shared" si="93"/>
        <v/>
      </c>
      <c r="L974" s="16" t="str">
        <f t="shared" ca="1" si="94"/>
        <v/>
      </c>
      <c r="M974" s="25" t="str">
        <f>IF(H974="","",IF(I974&lt;=0,"Shipped",IF(L974&lt;=AGE30,"Fresh",IF(L974&lt;=AGE60,"Watch",IF(L974&lt;=AGE90,"Aging","Old")))))</f>
        <v/>
      </c>
      <c r="N974" s="16" t="str">
        <f t="shared" si="95"/>
        <v/>
      </c>
    </row>
    <row r="975" spans="1:14" x14ac:dyDescent="0.2">
      <c r="A975" s="32"/>
      <c r="B975" s="27"/>
      <c r="C975" s="15" t="str">
        <f>IF(B975="","",IFERROR(INDEX(Items!$B$5:$B$19,MATCH(B975,Items!$A$5:$A$19,0)),"Unknown code"))</f>
        <v/>
      </c>
      <c r="D975" s="29"/>
      <c r="E975" s="18" t="str">
        <f>IF(B975="","",IFERROR(INDEX(Items!$C$5:$C$19,MATCH(B975,Items!$A$5:$A$19,0)),""))</f>
        <v/>
      </c>
      <c r="F975" s="18" t="str">
        <f t="shared" si="90"/>
        <v/>
      </c>
      <c r="G975" s="27"/>
      <c r="H975" s="23" t="str">
        <f>IF(OR(A975="",B975="",D975=""),"",IFERROR(INDEX(Items!$D$5:$D$19,MATCH(B975,Items!$A$5:$A$19,0))+SUMIFS(D$4:D974,B$4:B974,B975),""))</f>
        <v/>
      </c>
      <c r="I975" s="23" t="str">
        <f t="shared" si="91"/>
        <v/>
      </c>
      <c r="J975" s="23" t="str">
        <f t="shared" si="92"/>
        <v/>
      </c>
      <c r="K975" s="18" t="str">
        <f t="shared" si="93"/>
        <v/>
      </c>
      <c r="L975" s="16" t="str">
        <f t="shared" ca="1" si="94"/>
        <v/>
      </c>
      <c r="M975" s="25" t="str">
        <f>IF(H975="","",IF(I975&lt;=0,"Shipped",IF(L975&lt;=AGE30,"Fresh",IF(L975&lt;=AGE60,"Watch",IF(L975&lt;=AGE90,"Aging","Old")))))</f>
        <v/>
      </c>
      <c r="N975" s="16" t="str">
        <f t="shared" si="95"/>
        <v/>
      </c>
    </row>
    <row r="976" spans="1:14" x14ac:dyDescent="0.2">
      <c r="A976" s="32"/>
      <c r="B976" s="27"/>
      <c r="C976" s="15" t="str">
        <f>IF(B976="","",IFERROR(INDEX(Items!$B$5:$B$19,MATCH(B976,Items!$A$5:$A$19,0)),"Unknown code"))</f>
        <v/>
      </c>
      <c r="D976" s="29"/>
      <c r="E976" s="18" t="str">
        <f>IF(B976="","",IFERROR(INDEX(Items!$C$5:$C$19,MATCH(B976,Items!$A$5:$A$19,0)),""))</f>
        <v/>
      </c>
      <c r="F976" s="18" t="str">
        <f t="shared" si="90"/>
        <v/>
      </c>
      <c r="G976" s="27"/>
      <c r="H976" s="23" t="str">
        <f>IF(OR(A976="",B976="",D976=""),"",IFERROR(INDEX(Items!$D$5:$D$19,MATCH(B976,Items!$A$5:$A$19,0))+SUMIFS(D$4:D975,B$4:B975,B976),""))</f>
        <v/>
      </c>
      <c r="I976" s="23" t="str">
        <f t="shared" si="91"/>
        <v/>
      </c>
      <c r="J976" s="23" t="str">
        <f t="shared" si="92"/>
        <v/>
      </c>
      <c r="K976" s="18" t="str">
        <f t="shared" si="93"/>
        <v/>
      </c>
      <c r="L976" s="16" t="str">
        <f t="shared" ca="1" si="94"/>
        <v/>
      </c>
      <c r="M976" s="25" t="str">
        <f>IF(H976="","",IF(I976&lt;=0,"Shipped",IF(L976&lt;=AGE30,"Fresh",IF(L976&lt;=AGE60,"Watch",IF(L976&lt;=AGE90,"Aging","Old")))))</f>
        <v/>
      </c>
      <c r="N976" s="16" t="str">
        <f t="shared" si="95"/>
        <v/>
      </c>
    </row>
    <row r="977" spans="1:14" x14ac:dyDescent="0.2">
      <c r="A977" s="32"/>
      <c r="B977" s="27"/>
      <c r="C977" s="15" t="str">
        <f>IF(B977="","",IFERROR(INDEX(Items!$B$5:$B$19,MATCH(B977,Items!$A$5:$A$19,0)),"Unknown code"))</f>
        <v/>
      </c>
      <c r="D977" s="29"/>
      <c r="E977" s="18" t="str">
        <f>IF(B977="","",IFERROR(INDEX(Items!$C$5:$C$19,MATCH(B977,Items!$A$5:$A$19,0)),""))</f>
        <v/>
      </c>
      <c r="F977" s="18" t="str">
        <f t="shared" si="90"/>
        <v/>
      </c>
      <c r="G977" s="27"/>
      <c r="H977" s="23" t="str">
        <f>IF(OR(A977="",B977="",D977=""),"",IFERROR(INDEX(Items!$D$5:$D$19,MATCH(B977,Items!$A$5:$A$19,0))+SUMIFS(D$4:D976,B$4:B976,B977),""))</f>
        <v/>
      </c>
      <c r="I977" s="23" t="str">
        <f t="shared" si="91"/>
        <v/>
      </c>
      <c r="J977" s="23" t="str">
        <f t="shared" si="92"/>
        <v/>
      </c>
      <c r="K977" s="18" t="str">
        <f t="shared" si="93"/>
        <v/>
      </c>
      <c r="L977" s="16" t="str">
        <f t="shared" ca="1" si="94"/>
        <v/>
      </c>
      <c r="M977" s="25" t="str">
        <f>IF(H977="","",IF(I977&lt;=0,"Shipped",IF(L977&lt;=AGE30,"Fresh",IF(L977&lt;=AGE60,"Watch",IF(L977&lt;=AGE90,"Aging","Old")))))</f>
        <v/>
      </c>
      <c r="N977" s="16" t="str">
        <f t="shared" si="95"/>
        <v/>
      </c>
    </row>
    <row r="978" spans="1:14" x14ac:dyDescent="0.2">
      <c r="A978" s="32"/>
      <c r="B978" s="27"/>
      <c r="C978" s="15" t="str">
        <f>IF(B978="","",IFERROR(INDEX(Items!$B$5:$B$19,MATCH(B978,Items!$A$5:$A$19,0)),"Unknown code"))</f>
        <v/>
      </c>
      <c r="D978" s="29"/>
      <c r="E978" s="18" t="str">
        <f>IF(B978="","",IFERROR(INDEX(Items!$C$5:$C$19,MATCH(B978,Items!$A$5:$A$19,0)),""))</f>
        <v/>
      </c>
      <c r="F978" s="18" t="str">
        <f t="shared" si="90"/>
        <v/>
      </c>
      <c r="G978" s="27"/>
      <c r="H978" s="23" t="str">
        <f>IF(OR(A978="",B978="",D978=""),"",IFERROR(INDEX(Items!$D$5:$D$19,MATCH(B978,Items!$A$5:$A$19,0))+SUMIFS(D$4:D977,B$4:B977,B978),""))</f>
        <v/>
      </c>
      <c r="I978" s="23" t="str">
        <f t="shared" si="91"/>
        <v/>
      </c>
      <c r="J978" s="23" t="str">
        <f t="shared" si="92"/>
        <v/>
      </c>
      <c r="K978" s="18" t="str">
        <f t="shared" si="93"/>
        <v/>
      </c>
      <c r="L978" s="16" t="str">
        <f t="shared" ca="1" si="94"/>
        <v/>
      </c>
      <c r="M978" s="25" t="str">
        <f>IF(H978="","",IF(I978&lt;=0,"Shipped",IF(L978&lt;=AGE30,"Fresh",IF(L978&lt;=AGE60,"Watch",IF(L978&lt;=AGE90,"Aging","Old")))))</f>
        <v/>
      </c>
      <c r="N978" s="16" t="str">
        <f t="shared" si="95"/>
        <v/>
      </c>
    </row>
    <row r="979" spans="1:14" x14ac:dyDescent="0.2">
      <c r="A979" s="32"/>
      <c r="B979" s="27"/>
      <c r="C979" s="15" t="str">
        <f>IF(B979="","",IFERROR(INDEX(Items!$B$5:$B$19,MATCH(B979,Items!$A$5:$A$19,0)),"Unknown code"))</f>
        <v/>
      </c>
      <c r="D979" s="29"/>
      <c r="E979" s="18" t="str">
        <f>IF(B979="","",IFERROR(INDEX(Items!$C$5:$C$19,MATCH(B979,Items!$A$5:$A$19,0)),""))</f>
        <v/>
      </c>
      <c r="F979" s="18" t="str">
        <f t="shared" si="90"/>
        <v/>
      </c>
      <c r="G979" s="27"/>
      <c r="H979" s="23" t="str">
        <f>IF(OR(A979="",B979="",D979=""),"",IFERROR(INDEX(Items!$D$5:$D$19,MATCH(B979,Items!$A$5:$A$19,0))+SUMIFS(D$4:D978,B$4:B978,B979),""))</f>
        <v/>
      </c>
      <c r="I979" s="23" t="str">
        <f t="shared" si="91"/>
        <v/>
      </c>
      <c r="J979" s="23" t="str">
        <f t="shared" si="92"/>
        <v/>
      </c>
      <c r="K979" s="18" t="str">
        <f t="shared" si="93"/>
        <v/>
      </c>
      <c r="L979" s="16" t="str">
        <f t="shared" ca="1" si="94"/>
        <v/>
      </c>
      <c r="M979" s="25" t="str">
        <f>IF(H979="","",IF(I979&lt;=0,"Shipped",IF(L979&lt;=AGE30,"Fresh",IF(L979&lt;=AGE60,"Watch",IF(L979&lt;=AGE90,"Aging","Old")))))</f>
        <v/>
      </c>
      <c r="N979" s="16" t="str">
        <f t="shared" si="95"/>
        <v/>
      </c>
    </row>
    <row r="980" spans="1:14" x14ac:dyDescent="0.2">
      <c r="A980" s="32"/>
      <c r="B980" s="27"/>
      <c r="C980" s="15" t="str">
        <f>IF(B980="","",IFERROR(INDEX(Items!$B$5:$B$19,MATCH(B980,Items!$A$5:$A$19,0)),"Unknown code"))</f>
        <v/>
      </c>
      <c r="D980" s="29"/>
      <c r="E980" s="18" t="str">
        <f>IF(B980="","",IFERROR(INDEX(Items!$C$5:$C$19,MATCH(B980,Items!$A$5:$A$19,0)),""))</f>
        <v/>
      </c>
      <c r="F980" s="18" t="str">
        <f t="shared" si="90"/>
        <v/>
      </c>
      <c r="G980" s="27"/>
      <c r="H980" s="23" t="str">
        <f>IF(OR(A980="",B980="",D980=""),"",IFERROR(INDEX(Items!$D$5:$D$19,MATCH(B980,Items!$A$5:$A$19,0))+SUMIFS(D$4:D979,B$4:B979,B980),""))</f>
        <v/>
      </c>
      <c r="I980" s="23" t="str">
        <f t="shared" si="91"/>
        <v/>
      </c>
      <c r="J980" s="23" t="str">
        <f t="shared" si="92"/>
        <v/>
      </c>
      <c r="K980" s="18" t="str">
        <f t="shared" si="93"/>
        <v/>
      </c>
      <c r="L980" s="16" t="str">
        <f t="shared" ca="1" si="94"/>
        <v/>
      </c>
      <c r="M980" s="25" t="str">
        <f>IF(H980="","",IF(I980&lt;=0,"Shipped",IF(L980&lt;=AGE30,"Fresh",IF(L980&lt;=AGE60,"Watch",IF(L980&lt;=AGE90,"Aging","Old")))))</f>
        <v/>
      </c>
      <c r="N980" s="16" t="str">
        <f t="shared" si="95"/>
        <v/>
      </c>
    </row>
    <row r="981" spans="1:14" x14ac:dyDescent="0.2">
      <c r="A981" s="32"/>
      <c r="B981" s="27"/>
      <c r="C981" s="15" t="str">
        <f>IF(B981="","",IFERROR(INDEX(Items!$B$5:$B$19,MATCH(B981,Items!$A$5:$A$19,0)),"Unknown code"))</f>
        <v/>
      </c>
      <c r="D981" s="29"/>
      <c r="E981" s="18" t="str">
        <f>IF(B981="","",IFERROR(INDEX(Items!$C$5:$C$19,MATCH(B981,Items!$A$5:$A$19,0)),""))</f>
        <v/>
      </c>
      <c r="F981" s="18" t="str">
        <f t="shared" si="90"/>
        <v/>
      </c>
      <c r="G981" s="27"/>
      <c r="H981" s="23" t="str">
        <f>IF(OR(A981="",B981="",D981=""),"",IFERROR(INDEX(Items!$D$5:$D$19,MATCH(B981,Items!$A$5:$A$19,0))+SUMIFS(D$4:D980,B$4:B980,B981),""))</f>
        <v/>
      </c>
      <c r="I981" s="23" t="str">
        <f t="shared" si="91"/>
        <v/>
      </c>
      <c r="J981" s="23" t="str">
        <f t="shared" si="92"/>
        <v/>
      </c>
      <c r="K981" s="18" t="str">
        <f t="shared" si="93"/>
        <v/>
      </c>
      <c r="L981" s="16" t="str">
        <f t="shared" ca="1" si="94"/>
        <v/>
      </c>
      <c r="M981" s="25" t="str">
        <f>IF(H981="","",IF(I981&lt;=0,"Shipped",IF(L981&lt;=AGE30,"Fresh",IF(L981&lt;=AGE60,"Watch",IF(L981&lt;=AGE90,"Aging","Old")))))</f>
        <v/>
      </c>
      <c r="N981" s="16" t="str">
        <f t="shared" si="95"/>
        <v/>
      </c>
    </row>
    <row r="982" spans="1:14" x14ac:dyDescent="0.2">
      <c r="A982" s="32"/>
      <c r="B982" s="27"/>
      <c r="C982" s="15" t="str">
        <f>IF(B982="","",IFERROR(INDEX(Items!$B$5:$B$19,MATCH(B982,Items!$A$5:$A$19,0)),"Unknown code"))</f>
        <v/>
      </c>
      <c r="D982" s="29"/>
      <c r="E982" s="18" t="str">
        <f>IF(B982="","",IFERROR(INDEX(Items!$C$5:$C$19,MATCH(B982,Items!$A$5:$A$19,0)),""))</f>
        <v/>
      </c>
      <c r="F982" s="18" t="str">
        <f t="shared" si="90"/>
        <v/>
      </c>
      <c r="G982" s="27"/>
      <c r="H982" s="23" t="str">
        <f>IF(OR(A982="",B982="",D982=""),"",IFERROR(INDEX(Items!$D$5:$D$19,MATCH(B982,Items!$A$5:$A$19,0))+SUMIFS(D$4:D981,B$4:B981,B982),""))</f>
        <v/>
      </c>
      <c r="I982" s="23" t="str">
        <f t="shared" si="91"/>
        <v/>
      </c>
      <c r="J982" s="23" t="str">
        <f t="shared" si="92"/>
        <v/>
      </c>
      <c r="K982" s="18" t="str">
        <f t="shared" si="93"/>
        <v/>
      </c>
      <c r="L982" s="16" t="str">
        <f t="shared" ca="1" si="94"/>
        <v/>
      </c>
      <c r="M982" s="25" t="str">
        <f>IF(H982="","",IF(I982&lt;=0,"Shipped",IF(L982&lt;=AGE30,"Fresh",IF(L982&lt;=AGE60,"Watch",IF(L982&lt;=AGE90,"Aging","Old")))))</f>
        <v/>
      </c>
      <c r="N982" s="16" t="str">
        <f t="shared" si="95"/>
        <v/>
      </c>
    </row>
    <row r="983" spans="1:14" x14ac:dyDescent="0.2">
      <c r="A983" s="32"/>
      <c r="B983" s="27"/>
      <c r="C983" s="15" t="str">
        <f>IF(B983="","",IFERROR(INDEX(Items!$B$5:$B$19,MATCH(B983,Items!$A$5:$A$19,0)),"Unknown code"))</f>
        <v/>
      </c>
      <c r="D983" s="29"/>
      <c r="E983" s="18" t="str">
        <f>IF(B983="","",IFERROR(INDEX(Items!$C$5:$C$19,MATCH(B983,Items!$A$5:$A$19,0)),""))</f>
        <v/>
      </c>
      <c r="F983" s="18" t="str">
        <f t="shared" si="90"/>
        <v/>
      </c>
      <c r="G983" s="27"/>
      <c r="H983" s="23" t="str">
        <f>IF(OR(A983="",B983="",D983=""),"",IFERROR(INDEX(Items!$D$5:$D$19,MATCH(B983,Items!$A$5:$A$19,0))+SUMIFS(D$4:D982,B$4:B982,B983),""))</f>
        <v/>
      </c>
      <c r="I983" s="23" t="str">
        <f t="shared" si="91"/>
        <v/>
      </c>
      <c r="J983" s="23" t="str">
        <f t="shared" si="92"/>
        <v/>
      </c>
      <c r="K983" s="18" t="str">
        <f t="shared" si="93"/>
        <v/>
      </c>
      <c r="L983" s="16" t="str">
        <f t="shared" ca="1" si="94"/>
        <v/>
      </c>
      <c r="M983" s="25" t="str">
        <f>IF(H983="","",IF(I983&lt;=0,"Shipped",IF(L983&lt;=AGE30,"Fresh",IF(L983&lt;=AGE60,"Watch",IF(L983&lt;=AGE90,"Aging","Old")))))</f>
        <v/>
      </c>
      <c r="N983" s="16" t="str">
        <f t="shared" si="95"/>
        <v/>
      </c>
    </row>
    <row r="984" spans="1:14" x14ac:dyDescent="0.2">
      <c r="A984" s="32"/>
      <c r="B984" s="27"/>
      <c r="C984" s="15" t="str">
        <f>IF(B984="","",IFERROR(INDEX(Items!$B$5:$B$19,MATCH(B984,Items!$A$5:$A$19,0)),"Unknown code"))</f>
        <v/>
      </c>
      <c r="D984" s="29"/>
      <c r="E984" s="18" t="str">
        <f>IF(B984="","",IFERROR(INDEX(Items!$C$5:$C$19,MATCH(B984,Items!$A$5:$A$19,0)),""))</f>
        <v/>
      </c>
      <c r="F984" s="18" t="str">
        <f t="shared" si="90"/>
        <v/>
      </c>
      <c r="G984" s="27"/>
      <c r="H984" s="23" t="str">
        <f>IF(OR(A984="",B984="",D984=""),"",IFERROR(INDEX(Items!$D$5:$D$19,MATCH(B984,Items!$A$5:$A$19,0))+SUMIFS(D$4:D983,B$4:B983,B984),""))</f>
        <v/>
      </c>
      <c r="I984" s="23" t="str">
        <f t="shared" si="91"/>
        <v/>
      </c>
      <c r="J984" s="23" t="str">
        <f t="shared" si="92"/>
        <v/>
      </c>
      <c r="K984" s="18" t="str">
        <f t="shared" si="93"/>
        <v/>
      </c>
      <c r="L984" s="16" t="str">
        <f t="shared" ca="1" si="94"/>
        <v/>
      </c>
      <c r="M984" s="25" t="str">
        <f>IF(H984="","",IF(I984&lt;=0,"Shipped",IF(L984&lt;=AGE30,"Fresh",IF(L984&lt;=AGE60,"Watch",IF(L984&lt;=AGE90,"Aging","Old")))))</f>
        <v/>
      </c>
      <c r="N984" s="16" t="str">
        <f t="shared" si="95"/>
        <v/>
      </c>
    </row>
    <row r="985" spans="1:14" x14ac:dyDescent="0.2">
      <c r="A985" s="32"/>
      <c r="B985" s="27"/>
      <c r="C985" s="15" t="str">
        <f>IF(B985="","",IFERROR(INDEX(Items!$B$5:$B$19,MATCH(B985,Items!$A$5:$A$19,0)),"Unknown code"))</f>
        <v/>
      </c>
      <c r="D985" s="29"/>
      <c r="E985" s="18" t="str">
        <f>IF(B985="","",IFERROR(INDEX(Items!$C$5:$C$19,MATCH(B985,Items!$A$5:$A$19,0)),""))</f>
        <v/>
      </c>
      <c r="F985" s="18" t="str">
        <f t="shared" si="90"/>
        <v/>
      </c>
      <c r="G985" s="27"/>
      <c r="H985" s="23" t="str">
        <f>IF(OR(A985="",B985="",D985=""),"",IFERROR(INDEX(Items!$D$5:$D$19,MATCH(B985,Items!$A$5:$A$19,0))+SUMIFS(D$4:D984,B$4:B984,B985),""))</f>
        <v/>
      </c>
      <c r="I985" s="23" t="str">
        <f t="shared" si="91"/>
        <v/>
      </c>
      <c r="J985" s="23" t="str">
        <f t="shared" si="92"/>
        <v/>
      </c>
      <c r="K985" s="18" t="str">
        <f t="shared" si="93"/>
        <v/>
      </c>
      <c r="L985" s="16" t="str">
        <f t="shared" ca="1" si="94"/>
        <v/>
      </c>
      <c r="M985" s="25" t="str">
        <f>IF(H985="","",IF(I985&lt;=0,"Shipped",IF(L985&lt;=AGE30,"Fresh",IF(L985&lt;=AGE60,"Watch",IF(L985&lt;=AGE90,"Aging","Old")))))</f>
        <v/>
      </c>
      <c r="N985" s="16" t="str">
        <f t="shared" si="95"/>
        <v/>
      </c>
    </row>
    <row r="986" spans="1:14" x14ac:dyDescent="0.2">
      <c r="A986" s="32"/>
      <c r="B986" s="27"/>
      <c r="C986" s="15" t="str">
        <f>IF(B986="","",IFERROR(INDEX(Items!$B$5:$B$19,MATCH(B986,Items!$A$5:$A$19,0)),"Unknown code"))</f>
        <v/>
      </c>
      <c r="D986" s="29"/>
      <c r="E986" s="18" t="str">
        <f>IF(B986="","",IFERROR(INDEX(Items!$C$5:$C$19,MATCH(B986,Items!$A$5:$A$19,0)),""))</f>
        <v/>
      </c>
      <c r="F986" s="18" t="str">
        <f t="shared" si="90"/>
        <v/>
      </c>
      <c r="G986" s="27"/>
      <c r="H986" s="23" t="str">
        <f>IF(OR(A986="",B986="",D986=""),"",IFERROR(INDEX(Items!$D$5:$D$19,MATCH(B986,Items!$A$5:$A$19,0))+SUMIFS(D$4:D985,B$4:B985,B986),""))</f>
        <v/>
      </c>
      <c r="I986" s="23" t="str">
        <f t="shared" si="91"/>
        <v/>
      </c>
      <c r="J986" s="23" t="str">
        <f t="shared" si="92"/>
        <v/>
      </c>
      <c r="K986" s="18" t="str">
        <f t="shared" si="93"/>
        <v/>
      </c>
      <c r="L986" s="16" t="str">
        <f t="shared" ca="1" si="94"/>
        <v/>
      </c>
      <c r="M986" s="25" t="str">
        <f>IF(H986="","",IF(I986&lt;=0,"Shipped",IF(L986&lt;=AGE30,"Fresh",IF(L986&lt;=AGE60,"Watch",IF(L986&lt;=AGE90,"Aging","Old")))))</f>
        <v/>
      </c>
      <c r="N986" s="16" t="str">
        <f t="shared" si="95"/>
        <v/>
      </c>
    </row>
    <row r="987" spans="1:14" x14ac:dyDescent="0.2">
      <c r="A987" s="32"/>
      <c r="B987" s="27"/>
      <c r="C987" s="15" t="str">
        <f>IF(B987="","",IFERROR(INDEX(Items!$B$5:$B$19,MATCH(B987,Items!$A$5:$A$19,0)),"Unknown code"))</f>
        <v/>
      </c>
      <c r="D987" s="29"/>
      <c r="E987" s="18" t="str">
        <f>IF(B987="","",IFERROR(INDEX(Items!$C$5:$C$19,MATCH(B987,Items!$A$5:$A$19,0)),""))</f>
        <v/>
      </c>
      <c r="F987" s="18" t="str">
        <f t="shared" si="90"/>
        <v/>
      </c>
      <c r="G987" s="27"/>
      <c r="H987" s="23" t="str">
        <f>IF(OR(A987="",B987="",D987=""),"",IFERROR(INDEX(Items!$D$5:$D$19,MATCH(B987,Items!$A$5:$A$19,0))+SUMIFS(D$4:D986,B$4:B986,B987),""))</f>
        <v/>
      </c>
      <c r="I987" s="23" t="str">
        <f t="shared" si="91"/>
        <v/>
      </c>
      <c r="J987" s="23" t="str">
        <f t="shared" si="92"/>
        <v/>
      </c>
      <c r="K987" s="18" t="str">
        <f t="shared" si="93"/>
        <v/>
      </c>
      <c r="L987" s="16" t="str">
        <f t="shared" ca="1" si="94"/>
        <v/>
      </c>
      <c r="M987" s="25" t="str">
        <f>IF(H987="","",IF(I987&lt;=0,"Shipped",IF(L987&lt;=AGE30,"Fresh",IF(L987&lt;=AGE60,"Watch",IF(L987&lt;=AGE90,"Aging","Old")))))</f>
        <v/>
      </c>
      <c r="N987" s="16" t="str">
        <f t="shared" si="95"/>
        <v/>
      </c>
    </row>
    <row r="988" spans="1:14" x14ac:dyDescent="0.2">
      <c r="A988" s="32"/>
      <c r="B988" s="27"/>
      <c r="C988" s="15" t="str">
        <f>IF(B988="","",IFERROR(INDEX(Items!$B$5:$B$19,MATCH(B988,Items!$A$5:$A$19,0)),"Unknown code"))</f>
        <v/>
      </c>
      <c r="D988" s="29"/>
      <c r="E988" s="18" t="str">
        <f>IF(B988="","",IFERROR(INDEX(Items!$C$5:$C$19,MATCH(B988,Items!$A$5:$A$19,0)),""))</f>
        <v/>
      </c>
      <c r="F988" s="18" t="str">
        <f t="shared" si="90"/>
        <v/>
      </c>
      <c r="G988" s="27"/>
      <c r="H988" s="23" t="str">
        <f>IF(OR(A988="",B988="",D988=""),"",IFERROR(INDEX(Items!$D$5:$D$19,MATCH(B988,Items!$A$5:$A$19,0))+SUMIFS(D$4:D987,B$4:B987,B988),""))</f>
        <v/>
      </c>
      <c r="I988" s="23" t="str">
        <f t="shared" si="91"/>
        <v/>
      </c>
      <c r="J988" s="23" t="str">
        <f t="shared" si="92"/>
        <v/>
      </c>
      <c r="K988" s="18" t="str">
        <f t="shared" si="93"/>
        <v/>
      </c>
      <c r="L988" s="16" t="str">
        <f t="shared" ca="1" si="94"/>
        <v/>
      </c>
      <c r="M988" s="25" t="str">
        <f>IF(H988="","",IF(I988&lt;=0,"Shipped",IF(L988&lt;=AGE30,"Fresh",IF(L988&lt;=AGE60,"Watch",IF(L988&lt;=AGE90,"Aging","Old")))))</f>
        <v/>
      </c>
      <c r="N988" s="16" t="str">
        <f t="shared" si="95"/>
        <v/>
      </c>
    </row>
    <row r="989" spans="1:14" x14ac:dyDescent="0.2">
      <c r="A989" s="32"/>
      <c r="B989" s="27"/>
      <c r="C989" s="15" t="str">
        <f>IF(B989="","",IFERROR(INDEX(Items!$B$5:$B$19,MATCH(B989,Items!$A$5:$A$19,0)),"Unknown code"))</f>
        <v/>
      </c>
      <c r="D989" s="29"/>
      <c r="E989" s="18" t="str">
        <f>IF(B989="","",IFERROR(INDEX(Items!$C$5:$C$19,MATCH(B989,Items!$A$5:$A$19,0)),""))</f>
        <v/>
      </c>
      <c r="F989" s="18" t="str">
        <f t="shared" si="90"/>
        <v/>
      </c>
      <c r="G989" s="27"/>
      <c r="H989" s="23" t="str">
        <f>IF(OR(A989="",B989="",D989=""),"",IFERROR(INDEX(Items!$D$5:$D$19,MATCH(B989,Items!$A$5:$A$19,0))+SUMIFS(D$4:D988,B$4:B988,B989),""))</f>
        <v/>
      </c>
      <c r="I989" s="23" t="str">
        <f t="shared" si="91"/>
        <v/>
      </c>
      <c r="J989" s="23" t="str">
        <f t="shared" si="92"/>
        <v/>
      </c>
      <c r="K989" s="18" t="str">
        <f t="shared" si="93"/>
        <v/>
      </c>
      <c r="L989" s="16" t="str">
        <f t="shared" ca="1" si="94"/>
        <v/>
      </c>
      <c r="M989" s="25" t="str">
        <f>IF(H989="","",IF(I989&lt;=0,"Shipped",IF(L989&lt;=AGE30,"Fresh",IF(L989&lt;=AGE60,"Watch",IF(L989&lt;=AGE90,"Aging","Old")))))</f>
        <v/>
      </c>
      <c r="N989" s="16" t="str">
        <f t="shared" si="95"/>
        <v/>
      </c>
    </row>
    <row r="990" spans="1:14" x14ac:dyDescent="0.2">
      <c r="A990" s="32"/>
      <c r="B990" s="27"/>
      <c r="C990" s="15" t="str">
        <f>IF(B990="","",IFERROR(INDEX(Items!$B$5:$B$19,MATCH(B990,Items!$A$5:$A$19,0)),"Unknown code"))</f>
        <v/>
      </c>
      <c r="D990" s="29"/>
      <c r="E990" s="18" t="str">
        <f>IF(B990="","",IFERROR(INDEX(Items!$C$5:$C$19,MATCH(B990,Items!$A$5:$A$19,0)),""))</f>
        <v/>
      </c>
      <c r="F990" s="18" t="str">
        <f t="shared" si="90"/>
        <v/>
      </c>
      <c r="G990" s="27"/>
      <c r="H990" s="23" t="str">
        <f>IF(OR(A990="",B990="",D990=""),"",IFERROR(INDEX(Items!$D$5:$D$19,MATCH(B990,Items!$A$5:$A$19,0))+SUMIFS(D$4:D989,B$4:B989,B990),""))</f>
        <v/>
      </c>
      <c r="I990" s="23" t="str">
        <f t="shared" si="91"/>
        <v/>
      </c>
      <c r="J990" s="23" t="str">
        <f t="shared" si="92"/>
        <v/>
      </c>
      <c r="K990" s="18" t="str">
        <f t="shared" si="93"/>
        <v/>
      </c>
      <c r="L990" s="16" t="str">
        <f t="shared" ca="1" si="94"/>
        <v/>
      </c>
      <c r="M990" s="25" t="str">
        <f>IF(H990="","",IF(I990&lt;=0,"Shipped",IF(L990&lt;=AGE30,"Fresh",IF(L990&lt;=AGE60,"Watch",IF(L990&lt;=AGE90,"Aging","Old")))))</f>
        <v/>
      </c>
      <c r="N990" s="16" t="str">
        <f t="shared" si="95"/>
        <v/>
      </c>
    </row>
    <row r="991" spans="1:14" x14ac:dyDescent="0.2">
      <c r="A991" s="32"/>
      <c r="B991" s="27"/>
      <c r="C991" s="15" t="str">
        <f>IF(B991="","",IFERROR(INDEX(Items!$B$5:$B$19,MATCH(B991,Items!$A$5:$A$19,0)),"Unknown code"))</f>
        <v/>
      </c>
      <c r="D991" s="29"/>
      <c r="E991" s="18" t="str">
        <f>IF(B991="","",IFERROR(INDEX(Items!$C$5:$C$19,MATCH(B991,Items!$A$5:$A$19,0)),""))</f>
        <v/>
      </c>
      <c r="F991" s="18" t="str">
        <f t="shared" si="90"/>
        <v/>
      </c>
      <c r="G991" s="27"/>
      <c r="H991" s="23" t="str">
        <f>IF(OR(A991="",B991="",D991=""),"",IFERROR(INDEX(Items!$D$5:$D$19,MATCH(B991,Items!$A$5:$A$19,0))+SUMIFS(D$4:D990,B$4:B990,B991),""))</f>
        <v/>
      </c>
      <c r="I991" s="23" t="str">
        <f t="shared" si="91"/>
        <v/>
      </c>
      <c r="J991" s="23" t="str">
        <f t="shared" si="92"/>
        <v/>
      </c>
      <c r="K991" s="18" t="str">
        <f t="shared" si="93"/>
        <v/>
      </c>
      <c r="L991" s="16" t="str">
        <f t="shared" ca="1" si="94"/>
        <v/>
      </c>
      <c r="M991" s="25" t="str">
        <f>IF(H991="","",IF(I991&lt;=0,"Shipped",IF(L991&lt;=AGE30,"Fresh",IF(L991&lt;=AGE60,"Watch",IF(L991&lt;=AGE90,"Aging","Old")))))</f>
        <v/>
      </c>
      <c r="N991" s="16" t="str">
        <f t="shared" si="95"/>
        <v/>
      </c>
    </row>
    <row r="992" spans="1:14" x14ac:dyDescent="0.2">
      <c r="A992" s="32"/>
      <c r="B992" s="27"/>
      <c r="C992" s="15" t="str">
        <f>IF(B992="","",IFERROR(INDEX(Items!$B$5:$B$19,MATCH(B992,Items!$A$5:$A$19,0)),"Unknown code"))</f>
        <v/>
      </c>
      <c r="D992" s="29"/>
      <c r="E992" s="18" t="str">
        <f>IF(B992="","",IFERROR(INDEX(Items!$C$5:$C$19,MATCH(B992,Items!$A$5:$A$19,0)),""))</f>
        <v/>
      </c>
      <c r="F992" s="18" t="str">
        <f t="shared" si="90"/>
        <v/>
      </c>
      <c r="G992" s="27"/>
      <c r="H992" s="23" t="str">
        <f>IF(OR(A992="",B992="",D992=""),"",IFERROR(INDEX(Items!$D$5:$D$19,MATCH(B992,Items!$A$5:$A$19,0))+SUMIFS(D$4:D991,B$4:B991,B992),""))</f>
        <v/>
      </c>
      <c r="I992" s="23" t="str">
        <f t="shared" si="91"/>
        <v/>
      </c>
      <c r="J992" s="23" t="str">
        <f t="shared" si="92"/>
        <v/>
      </c>
      <c r="K992" s="18" t="str">
        <f t="shared" si="93"/>
        <v/>
      </c>
      <c r="L992" s="16" t="str">
        <f t="shared" ca="1" si="94"/>
        <v/>
      </c>
      <c r="M992" s="25" t="str">
        <f>IF(H992="","",IF(I992&lt;=0,"Shipped",IF(L992&lt;=AGE30,"Fresh",IF(L992&lt;=AGE60,"Watch",IF(L992&lt;=AGE90,"Aging","Old")))))</f>
        <v/>
      </c>
      <c r="N992" s="16" t="str">
        <f t="shared" si="95"/>
        <v/>
      </c>
    </row>
    <row r="993" spans="1:14" x14ac:dyDescent="0.2">
      <c r="A993" s="32"/>
      <c r="B993" s="27"/>
      <c r="C993" s="15" t="str">
        <f>IF(B993="","",IFERROR(INDEX(Items!$B$5:$B$19,MATCH(B993,Items!$A$5:$A$19,0)),"Unknown code"))</f>
        <v/>
      </c>
      <c r="D993" s="29"/>
      <c r="E993" s="18" t="str">
        <f>IF(B993="","",IFERROR(INDEX(Items!$C$5:$C$19,MATCH(B993,Items!$A$5:$A$19,0)),""))</f>
        <v/>
      </c>
      <c r="F993" s="18" t="str">
        <f t="shared" si="90"/>
        <v/>
      </c>
      <c r="G993" s="27"/>
      <c r="H993" s="23" t="str">
        <f>IF(OR(A993="",B993="",D993=""),"",IFERROR(INDEX(Items!$D$5:$D$19,MATCH(B993,Items!$A$5:$A$19,0))+SUMIFS(D$4:D992,B$4:B992,B993),""))</f>
        <v/>
      </c>
      <c r="I993" s="23" t="str">
        <f t="shared" si="91"/>
        <v/>
      </c>
      <c r="J993" s="23" t="str">
        <f t="shared" si="92"/>
        <v/>
      </c>
      <c r="K993" s="18" t="str">
        <f t="shared" si="93"/>
        <v/>
      </c>
      <c r="L993" s="16" t="str">
        <f t="shared" ca="1" si="94"/>
        <v/>
      </c>
      <c r="M993" s="25" t="str">
        <f>IF(H993="","",IF(I993&lt;=0,"Shipped",IF(L993&lt;=AGE30,"Fresh",IF(L993&lt;=AGE60,"Watch",IF(L993&lt;=AGE90,"Aging","Old")))))</f>
        <v/>
      </c>
      <c r="N993" s="16" t="str">
        <f t="shared" si="95"/>
        <v/>
      </c>
    </row>
    <row r="994" spans="1:14" x14ac:dyDescent="0.2">
      <c r="A994" s="32"/>
      <c r="B994" s="27"/>
      <c r="C994" s="15" t="str">
        <f>IF(B994="","",IFERROR(INDEX(Items!$B$5:$B$19,MATCH(B994,Items!$A$5:$A$19,0)),"Unknown code"))</f>
        <v/>
      </c>
      <c r="D994" s="29"/>
      <c r="E994" s="18" t="str">
        <f>IF(B994="","",IFERROR(INDEX(Items!$C$5:$C$19,MATCH(B994,Items!$A$5:$A$19,0)),""))</f>
        <v/>
      </c>
      <c r="F994" s="18" t="str">
        <f t="shared" si="90"/>
        <v/>
      </c>
      <c r="G994" s="27"/>
      <c r="H994" s="23" t="str">
        <f>IF(OR(A994="",B994="",D994=""),"",IFERROR(INDEX(Items!$D$5:$D$19,MATCH(B994,Items!$A$5:$A$19,0))+SUMIFS(D$4:D993,B$4:B993,B994),""))</f>
        <v/>
      </c>
      <c r="I994" s="23" t="str">
        <f t="shared" si="91"/>
        <v/>
      </c>
      <c r="J994" s="23" t="str">
        <f t="shared" si="92"/>
        <v/>
      </c>
      <c r="K994" s="18" t="str">
        <f t="shared" si="93"/>
        <v/>
      </c>
      <c r="L994" s="16" t="str">
        <f t="shared" ca="1" si="94"/>
        <v/>
      </c>
      <c r="M994" s="25" t="str">
        <f>IF(H994="","",IF(I994&lt;=0,"Shipped",IF(L994&lt;=AGE30,"Fresh",IF(L994&lt;=AGE60,"Watch",IF(L994&lt;=AGE90,"Aging","Old")))))</f>
        <v/>
      </c>
      <c r="N994" s="16" t="str">
        <f t="shared" si="95"/>
        <v/>
      </c>
    </row>
    <row r="995" spans="1:14" x14ac:dyDescent="0.2">
      <c r="A995" s="32"/>
      <c r="B995" s="27"/>
      <c r="C995" s="15" t="str">
        <f>IF(B995="","",IFERROR(INDEX(Items!$B$5:$B$19,MATCH(B995,Items!$A$5:$A$19,0)),"Unknown code"))</f>
        <v/>
      </c>
      <c r="D995" s="29"/>
      <c r="E995" s="18" t="str">
        <f>IF(B995="","",IFERROR(INDEX(Items!$C$5:$C$19,MATCH(B995,Items!$A$5:$A$19,0)),""))</f>
        <v/>
      </c>
      <c r="F995" s="18" t="str">
        <f t="shared" si="90"/>
        <v/>
      </c>
      <c r="G995" s="27"/>
      <c r="H995" s="23" t="str">
        <f>IF(OR(A995="",B995="",D995=""),"",IFERROR(INDEX(Items!$D$5:$D$19,MATCH(B995,Items!$A$5:$A$19,0))+SUMIFS(D$4:D994,B$4:B994,B995),""))</f>
        <v/>
      </c>
      <c r="I995" s="23" t="str">
        <f t="shared" si="91"/>
        <v/>
      </c>
      <c r="J995" s="23" t="str">
        <f t="shared" si="92"/>
        <v/>
      </c>
      <c r="K995" s="18" t="str">
        <f t="shared" si="93"/>
        <v/>
      </c>
      <c r="L995" s="16" t="str">
        <f t="shared" ca="1" si="94"/>
        <v/>
      </c>
      <c r="M995" s="25" t="str">
        <f>IF(H995="","",IF(I995&lt;=0,"Shipped",IF(L995&lt;=AGE30,"Fresh",IF(L995&lt;=AGE60,"Watch",IF(L995&lt;=AGE90,"Aging","Old")))))</f>
        <v/>
      </c>
      <c r="N995" s="16" t="str">
        <f t="shared" si="95"/>
        <v/>
      </c>
    </row>
    <row r="996" spans="1:14" x14ac:dyDescent="0.2">
      <c r="A996" s="32"/>
      <c r="B996" s="27"/>
      <c r="C996" s="15" t="str">
        <f>IF(B996="","",IFERROR(INDEX(Items!$B$5:$B$19,MATCH(B996,Items!$A$5:$A$19,0)),"Unknown code"))</f>
        <v/>
      </c>
      <c r="D996" s="29"/>
      <c r="E996" s="18" t="str">
        <f>IF(B996="","",IFERROR(INDEX(Items!$C$5:$C$19,MATCH(B996,Items!$A$5:$A$19,0)),""))</f>
        <v/>
      </c>
      <c r="F996" s="18" t="str">
        <f t="shared" si="90"/>
        <v/>
      </c>
      <c r="G996" s="27"/>
      <c r="H996" s="23" t="str">
        <f>IF(OR(A996="",B996="",D996=""),"",IFERROR(INDEX(Items!$D$5:$D$19,MATCH(B996,Items!$A$5:$A$19,0))+SUMIFS(D$4:D995,B$4:B995,B996),""))</f>
        <v/>
      </c>
      <c r="I996" s="23" t="str">
        <f t="shared" si="91"/>
        <v/>
      </c>
      <c r="J996" s="23" t="str">
        <f t="shared" si="92"/>
        <v/>
      </c>
      <c r="K996" s="18" t="str">
        <f t="shared" si="93"/>
        <v/>
      </c>
      <c r="L996" s="16" t="str">
        <f t="shared" ca="1" si="94"/>
        <v/>
      </c>
      <c r="M996" s="25" t="str">
        <f>IF(H996="","",IF(I996&lt;=0,"Shipped",IF(L996&lt;=AGE30,"Fresh",IF(L996&lt;=AGE60,"Watch",IF(L996&lt;=AGE90,"Aging","Old")))))</f>
        <v/>
      </c>
      <c r="N996" s="16" t="str">
        <f t="shared" si="95"/>
        <v/>
      </c>
    </row>
    <row r="997" spans="1:14" x14ac:dyDescent="0.2">
      <c r="A997" s="32"/>
      <c r="B997" s="27"/>
      <c r="C997" s="15" t="str">
        <f>IF(B997="","",IFERROR(INDEX(Items!$B$5:$B$19,MATCH(B997,Items!$A$5:$A$19,0)),"Unknown code"))</f>
        <v/>
      </c>
      <c r="D997" s="29"/>
      <c r="E997" s="18" t="str">
        <f>IF(B997="","",IFERROR(INDEX(Items!$C$5:$C$19,MATCH(B997,Items!$A$5:$A$19,0)),""))</f>
        <v/>
      </c>
      <c r="F997" s="18" t="str">
        <f t="shared" si="90"/>
        <v/>
      </c>
      <c r="G997" s="27"/>
      <c r="H997" s="23" t="str">
        <f>IF(OR(A997="",B997="",D997=""),"",IFERROR(INDEX(Items!$D$5:$D$19,MATCH(B997,Items!$A$5:$A$19,0))+SUMIFS(D$4:D996,B$4:B996,B997),""))</f>
        <v/>
      </c>
      <c r="I997" s="23" t="str">
        <f t="shared" si="91"/>
        <v/>
      </c>
      <c r="J997" s="23" t="str">
        <f t="shared" si="92"/>
        <v/>
      </c>
      <c r="K997" s="18" t="str">
        <f t="shared" si="93"/>
        <v/>
      </c>
      <c r="L997" s="16" t="str">
        <f t="shared" ca="1" si="94"/>
        <v/>
      </c>
      <c r="M997" s="25" t="str">
        <f>IF(H997="","",IF(I997&lt;=0,"Shipped",IF(L997&lt;=AGE30,"Fresh",IF(L997&lt;=AGE60,"Watch",IF(L997&lt;=AGE90,"Aging","Old")))))</f>
        <v/>
      </c>
      <c r="N997" s="16" t="str">
        <f t="shared" si="95"/>
        <v/>
      </c>
    </row>
    <row r="998" spans="1:14" x14ac:dyDescent="0.2">
      <c r="A998" s="32"/>
      <c r="B998" s="27"/>
      <c r="C998" s="15" t="str">
        <f>IF(B998="","",IFERROR(INDEX(Items!$B$5:$B$19,MATCH(B998,Items!$A$5:$A$19,0)),"Unknown code"))</f>
        <v/>
      </c>
      <c r="D998" s="29"/>
      <c r="E998" s="18" t="str">
        <f>IF(B998="","",IFERROR(INDEX(Items!$C$5:$C$19,MATCH(B998,Items!$A$5:$A$19,0)),""))</f>
        <v/>
      </c>
      <c r="F998" s="18" t="str">
        <f t="shared" si="90"/>
        <v/>
      </c>
      <c r="G998" s="27"/>
      <c r="H998" s="23" t="str">
        <f>IF(OR(A998="",B998="",D998=""),"",IFERROR(INDEX(Items!$D$5:$D$19,MATCH(B998,Items!$A$5:$A$19,0))+SUMIFS(D$4:D997,B$4:B997,B998),""))</f>
        <v/>
      </c>
      <c r="I998" s="23" t="str">
        <f t="shared" si="91"/>
        <v/>
      </c>
      <c r="J998" s="23" t="str">
        <f t="shared" si="92"/>
        <v/>
      </c>
      <c r="K998" s="18" t="str">
        <f t="shared" si="93"/>
        <v/>
      </c>
      <c r="L998" s="16" t="str">
        <f t="shared" ca="1" si="94"/>
        <v/>
      </c>
      <c r="M998" s="25" t="str">
        <f>IF(H998="","",IF(I998&lt;=0,"Shipped",IF(L998&lt;=AGE30,"Fresh",IF(L998&lt;=AGE60,"Watch",IF(L998&lt;=AGE90,"Aging","Old")))))</f>
        <v/>
      </c>
      <c r="N998" s="16" t="str">
        <f t="shared" si="95"/>
        <v/>
      </c>
    </row>
    <row r="999" spans="1:14" x14ac:dyDescent="0.2">
      <c r="A999" s="32"/>
      <c r="B999" s="27"/>
      <c r="C999" s="15" t="str">
        <f>IF(B999="","",IFERROR(INDEX(Items!$B$5:$B$19,MATCH(B999,Items!$A$5:$A$19,0)),"Unknown code"))</f>
        <v/>
      </c>
      <c r="D999" s="29"/>
      <c r="E999" s="18" t="str">
        <f>IF(B999="","",IFERROR(INDEX(Items!$C$5:$C$19,MATCH(B999,Items!$A$5:$A$19,0)),""))</f>
        <v/>
      </c>
      <c r="F999" s="18" t="str">
        <f t="shared" si="90"/>
        <v/>
      </c>
      <c r="G999" s="27"/>
      <c r="H999" s="23" t="str">
        <f>IF(OR(A999="",B999="",D999=""),"",IFERROR(INDEX(Items!$D$5:$D$19,MATCH(B999,Items!$A$5:$A$19,0))+SUMIFS(D$4:D998,B$4:B998,B999),""))</f>
        <v/>
      </c>
      <c r="I999" s="23" t="str">
        <f t="shared" si="91"/>
        <v/>
      </c>
      <c r="J999" s="23" t="str">
        <f t="shared" si="92"/>
        <v/>
      </c>
      <c r="K999" s="18" t="str">
        <f t="shared" si="93"/>
        <v/>
      </c>
      <c r="L999" s="16" t="str">
        <f t="shared" ca="1" si="94"/>
        <v/>
      </c>
      <c r="M999" s="25" t="str">
        <f>IF(H999="","",IF(I999&lt;=0,"Shipped",IF(L999&lt;=AGE30,"Fresh",IF(L999&lt;=AGE60,"Watch",IF(L999&lt;=AGE90,"Aging","Old")))))</f>
        <v/>
      </c>
      <c r="N999" s="16" t="str">
        <f t="shared" si="95"/>
        <v/>
      </c>
    </row>
    <row r="1000" spans="1:14" x14ac:dyDescent="0.2">
      <c r="A1000" s="32"/>
      <c r="B1000" s="27"/>
      <c r="C1000" s="15" t="str">
        <f>IF(B1000="","",IFERROR(INDEX(Items!$B$5:$B$19,MATCH(B1000,Items!$A$5:$A$19,0)),"Unknown code"))</f>
        <v/>
      </c>
      <c r="D1000" s="29"/>
      <c r="E1000" s="18" t="str">
        <f>IF(B1000="","",IFERROR(INDEX(Items!$C$5:$C$19,MATCH(B1000,Items!$A$5:$A$19,0)),""))</f>
        <v/>
      </c>
      <c r="F1000" s="18" t="str">
        <f t="shared" si="90"/>
        <v/>
      </c>
      <c r="G1000" s="27"/>
      <c r="H1000" s="23" t="str">
        <f>IF(OR(A1000="",B1000="",D1000=""),"",IFERROR(INDEX(Items!$D$5:$D$19,MATCH(B1000,Items!$A$5:$A$19,0))+SUMIFS(D$4:D999,B$4:B999,B1000),""))</f>
        <v/>
      </c>
      <c r="I1000" s="23" t="str">
        <f t="shared" si="91"/>
        <v/>
      </c>
      <c r="J1000" s="23" t="str">
        <f t="shared" si="92"/>
        <v/>
      </c>
      <c r="K1000" s="18" t="str">
        <f t="shared" si="93"/>
        <v/>
      </c>
      <c r="L1000" s="16" t="str">
        <f t="shared" ca="1" si="94"/>
        <v/>
      </c>
      <c r="M1000" s="25" t="str">
        <f>IF(H1000="","",IF(I1000&lt;=0,"Shipped",IF(L1000&lt;=AGE30,"Fresh",IF(L1000&lt;=AGE60,"Watch",IF(L1000&lt;=AGE90,"Aging","Old")))))</f>
        <v/>
      </c>
      <c r="N1000" s="16" t="str">
        <f t="shared" si="95"/>
        <v/>
      </c>
    </row>
    <row r="1001" spans="1:14" x14ac:dyDescent="0.2">
      <c r="A1001" s="32"/>
      <c r="B1001" s="27"/>
      <c r="C1001" s="15" t="str">
        <f>IF(B1001="","",IFERROR(INDEX(Items!$B$5:$B$19,MATCH(B1001,Items!$A$5:$A$19,0)),"Unknown code"))</f>
        <v/>
      </c>
      <c r="D1001" s="29"/>
      <c r="E1001" s="18" t="str">
        <f>IF(B1001="","",IFERROR(INDEX(Items!$C$5:$C$19,MATCH(B1001,Items!$A$5:$A$19,0)),""))</f>
        <v/>
      </c>
      <c r="F1001" s="18" t="str">
        <f t="shared" si="90"/>
        <v/>
      </c>
      <c r="G1001" s="27"/>
      <c r="H1001" s="23" t="str">
        <f>IF(OR(A1001="",B1001="",D1001=""),"",IFERROR(INDEX(Items!$D$5:$D$19,MATCH(B1001,Items!$A$5:$A$19,0))+SUMIFS(D$4:D1000,B$4:B1000,B1001),""))</f>
        <v/>
      </c>
      <c r="I1001" s="23" t="str">
        <f t="shared" si="91"/>
        <v/>
      </c>
      <c r="J1001" s="23" t="str">
        <f t="shared" si="92"/>
        <v/>
      </c>
      <c r="K1001" s="18" t="str">
        <f t="shared" si="93"/>
        <v/>
      </c>
      <c r="L1001" s="16" t="str">
        <f t="shared" ca="1" si="94"/>
        <v/>
      </c>
      <c r="M1001" s="25" t="str">
        <f>IF(H1001="","",IF(I1001&lt;=0,"Shipped",IF(L1001&lt;=AGE30,"Fresh",IF(L1001&lt;=AGE60,"Watch",IF(L1001&lt;=AGE90,"Aging","Old")))))</f>
        <v/>
      </c>
      <c r="N1001" s="16" t="str">
        <f t="shared" si="95"/>
        <v/>
      </c>
    </row>
    <row r="1002" spans="1:14" x14ac:dyDescent="0.2">
      <c r="A1002" s="32"/>
      <c r="B1002" s="27"/>
      <c r="C1002" s="15" t="str">
        <f>IF(B1002="","",IFERROR(INDEX(Items!$B$5:$B$19,MATCH(B1002,Items!$A$5:$A$19,0)),"Unknown code"))</f>
        <v/>
      </c>
      <c r="D1002" s="29"/>
      <c r="E1002" s="18" t="str">
        <f>IF(B1002="","",IFERROR(INDEX(Items!$C$5:$C$19,MATCH(B1002,Items!$A$5:$A$19,0)),""))</f>
        <v/>
      </c>
      <c r="F1002" s="18" t="str">
        <f t="shared" si="90"/>
        <v/>
      </c>
      <c r="G1002" s="27"/>
      <c r="H1002" s="23" t="str">
        <f>IF(OR(A1002="",B1002="",D1002=""),"",IFERROR(INDEX(Items!$D$5:$D$19,MATCH(B1002,Items!$A$5:$A$19,0))+SUMIFS(D$4:D1001,B$4:B1001,B1002),""))</f>
        <v/>
      </c>
      <c r="I1002" s="23" t="str">
        <f t="shared" si="91"/>
        <v/>
      </c>
      <c r="J1002" s="23" t="str">
        <f t="shared" si="92"/>
        <v/>
      </c>
      <c r="K1002" s="18" t="str">
        <f t="shared" si="93"/>
        <v/>
      </c>
      <c r="L1002" s="16" t="str">
        <f t="shared" ca="1" si="94"/>
        <v/>
      </c>
      <c r="M1002" s="25" t="str">
        <f>IF(H1002="","",IF(I1002&lt;=0,"Shipped",IF(L1002&lt;=AGE30,"Fresh",IF(L1002&lt;=AGE60,"Watch",IF(L1002&lt;=AGE90,"Aging","Old")))))</f>
        <v/>
      </c>
      <c r="N1002" s="16" t="str">
        <f t="shared" si="95"/>
        <v/>
      </c>
    </row>
    <row r="1003" spans="1:14" x14ac:dyDescent="0.2">
      <c r="A1003" s="32"/>
      <c r="B1003" s="27"/>
      <c r="C1003" s="15" t="str">
        <f>IF(B1003="","",IFERROR(INDEX(Items!$B$5:$B$19,MATCH(B1003,Items!$A$5:$A$19,0)),"Unknown code"))</f>
        <v/>
      </c>
      <c r="D1003" s="29"/>
      <c r="E1003" s="18" t="str">
        <f>IF(B1003="","",IFERROR(INDEX(Items!$C$5:$C$19,MATCH(B1003,Items!$A$5:$A$19,0)),""))</f>
        <v/>
      </c>
      <c r="F1003" s="18" t="str">
        <f t="shared" si="90"/>
        <v/>
      </c>
      <c r="G1003" s="27"/>
      <c r="H1003" s="23" t="str">
        <f>IF(OR(A1003="",B1003="",D1003=""),"",IFERROR(INDEX(Items!$D$5:$D$19,MATCH(B1003,Items!$A$5:$A$19,0))+SUMIFS(D$4:D1002,B$4:B1002,B1003),""))</f>
        <v/>
      </c>
      <c r="I1003" s="23" t="str">
        <f t="shared" si="91"/>
        <v/>
      </c>
      <c r="J1003" s="23" t="str">
        <f t="shared" si="92"/>
        <v/>
      </c>
      <c r="K1003" s="18" t="str">
        <f t="shared" si="93"/>
        <v/>
      </c>
      <c r="L1003" s="16" t="str">
        <f t="shared" ca="1" si="94"/>
        <v/>
      </c>
      <c r="M1003" s="25" t="str">
        <f>IF(H1003="","",IF(I1003&lt;=0,"Shipped",IF(L1003&lt;=AGE30,"Fresh",IF(L1003&lt;=AGE60,"Watch",IF(L1003&lt;=AGE90,"Aging","Old")))))</f>
        <v/>
      </c>
      <c r="N1003" s="16" t="str">
        <f t="shared" si="95"/>
        <v/>
      </c>
    </row>
    <row r="1004" spans="1:14" x14ac:dyDescent="0.2">
      <c r="A1004" s="32"/>
      <c r="B1004" s="27"/>
      <c r="C1004" s="15" t="str">
        <f>IF(B1004="","",IFERROR(INDEX(Items!$B$5:$B$19,MATCH(B1004,Items!$A$5:$A$19,0)),"Unknown code"))</f>
        <v/>
      </c>
      <c r="D1004" s="29"/>
      <c r="E1004" s="18" t="str">
        <f>IF(B1004="","",IFERROR(INDEX(Items!$C$5:$C$19,MATCH(B1004,Items!$A$5:$A$19,0)),""))</f>
        <v/>
      </c>
      <c r="F1004" s="18" t="str">
        <f t="shared" si="90"/>
        <v/>
      </c>
      <c r="G1004" s="27"/>
      <c r="H1004" s="23" t="str">
        <f>IF(OR(A1004="",B1004="",D1004=""),"",IFERROR(INDEX(Items!$D$5:$D$19,MATCH(B1004,Items!$A$5:$A$19,0))+SUMIFS(D$4:D1003,B$4:B1003,B1004),""))</f>
        <v/>
      </c>
      <c r="I1004" s="23" t="str">
        <f t="shared" si="91"/>
        <v/>
      </c>
      <c r="J1004" s="23" t="str">
        <f t="shared" si="92"/>
        <v/>
      </c>
      <c r="K1004" s="18" t="str">
        <f t="shared" si="93"/>
        <v/>
      </c>
      <c r="L1004" s="16" t="str">
        <f t="shared" ca="1" si="94"/>
        <v/>
      </c>
      <c r="M1004" s="25" t="str">
        <f>IF(H1004="","",IF(I1004&lt;=0,"Shipped",IF(L1004&lt;=AGE30,"Fresh",IF(L1004&lt;=AGE60,"Watch",IF(L1004&lt;=AGE90,"Aging","Old")))))</f>
        <v/>
      </c>
      <c r="N1004" s="16" t="str">
        <f t="shared" si="95"/>
        <v/>
      </c>
    </row>
  </sheetData>
  <sheetProtection sheet="1" formatColumns="0" formatRows="0" sort="0" autoFilter="0"/>
  <autoFilter ref="A4:N1004" xr:uid="{00000000-0009-0000-0000-000003000000}"/>
  <mergeCells count="2">
    <mergeCell ref="A1:N1"/>
    <mergeCell ref="A2:N2"/>
  </mergeCells>
  <conditionalFormatting sqref="M5:M1004">
    <cfRule type="expression" dxfId="6" priority="2">
      <formula>$M5="Fresh"</formula>
    </cfRule>
    <cfRule type="expression" dxfId="5" priority="3">
      <formula>$M5="Watch"</formula>
    </cfRule>
    <cfRule type="expression" dxfId="4" priority="4">
      <formula>$M5="Aging"</formula>
    </cfRule>
    <cfRule type="expression" dxfId="3" priority="5">
      <formula>$M5="Old"</formula>
    </cfRule>
    <cfRule type="expression" dxfId="2" priority="6">
      <formula>$M5="CHECK COUNT"</formula>
    </cfRule>
    <cfRule type="expression" dxfId="1" priority="7">
      <formula>$M5="Empty"</formula>
    </cfRule>
    <cfRule type="expression" dxfId="0" priority="8">
      <formula>$M5="Shipped"</formula>
    </cfRule>
  </conditionalFormatting>
  <dataValidations count="2">
    <dataValidation type="whole" operator="greaterThan" allowBlank="1" errorTitle="Invalid quantity" error="Enter a whole number greater than 0." sqref="D5:D1004" xr:uid="{00000000-0002-0000-0300-000001000000}">
      <formula1>0</formula1>
      <formula2>0</formula2>
    </dataValidation>
    <dataValidation type="date" operator="greaterThanOrEqual" allowBlank="1" errorTitle="Invalid date" error="Enter a valid date, e.g. 10/14/2026." sqref="A5:A1004" xr:uid="{00000000-0002-0000-0300-000002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Unknown item code" error="Pick an Item Code from the Items sheet." xr:uid="{00000000-0002-0000-0300-000000000000}">
          <x14:formula1>
            <xm:f>Items!$A$5:$A$19</xm:f>
          </x14:formula1>
          <x14:formula2>
            <xm:f>0</xm:f>
          </x14:formula2>
          <xm:sqref>B5:B1004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4"/>
  <sheetViews>
    <sheetView showGridLines="0" zoomScaleNormal="100" workbookViewId="0">
      <pane ySplit="4" topLeftCell="A5" activePane="bottomLeft" state="frozen"/>
      <selection pane="bottomLeft" activeCell="C6" sqref="C6"/>
    </sheetView>
  </sheetViews>
  <sheetFormatPr baseColWidth="10" defaultColWidth="8.6640625" defaultRowHeight="15" x14ac:dyDescent="0.2"/>
  <cols>
    <col min="1" max="1" width="16" customWidth="1"/>
    <col min="2" max="2" width="26" customWidth="1"/>
    <col min="3" max="3" width="20" customWidth="1"/>
    <col min="4" max="4" width="44" customWidth="1"/>
  </cols>
  <sheetData>
    <row r="1" spans="1:4" ht="33.75" customHeight="1" x14ac:dyDescent="0.2">
      <c r="A1" s="39" t="s">
        <v>99</v>
      </c>
      <c r="B1" s="39"/>
      <c r="C1" s="39"/>
      <c r="D1" s="39"/>
    </row>
    <row r="2" spans="1:4" ht="30" customHeight="1" x14ac:dyDescent="0.2">
      <c r="A2" s="40" t="s">
        <v>100</v>
      </c>
      <c r="B2" s="40"/>
      <c r="C2" s="40"/>
      <c r="D2" s="40"/>
    </row>
    <row r="4" spans="1:4" ht="42" customHeight="1" x14ac:dyDescent="0.2">
      <c r="A4" s="14" t="s">
        <v>101</v>
      </c>
      <c r="B4" s="14" t="s">
        <v>102</v>
      </c>
      <c r="C4" s="14" t="s">
        <v>103</v>
      </c>
      <c r="D4" s="14" t="s">
        <v>104</v>
      </c>
    </row>
    <row r="5" spans="1:4" x14ac:dyDescent="0.2">
      <c r="A5" s="32">
        <v>46354</v>
      </c>
      <c r="B5" s="27">
        <v>5674</v>
      </c>
      <c r="C5" s="33"/>
      <c r="D5" s="27"/>
    </row>
    <row r="6" spans="1:4" x14ac:dyDescent="0.2">
      <c r="A6" s="32"/>
      <c r="B6" s="27"/>
      <c r="C6" s="33"/>
      <c r="D6" s="27"/>
    </row>
    <row r="7" spans="1:4" x14ac:dyDescent="0.2">
      <c r="A7" s="32"/>
      <c r="B7" s="27"/>
      <c r="C7" s="33"/>
      <c r="D7" s="27"/>
    </row>
    <row r="8" spans="1:4" x14ac:dyDescent="0.2">
      <c r="A8" s="32"/>
      <c r="B8" s="27"/>
      <c r="C8" s="33"/>
      <c r="D8" s="27"/>
    </row>
    <row r="9" spans="1:4" x14ac:dyDescent="0.2">
      <c r="A9" s="32"/>
      <c r="B9" s="27"/>
      <c r="C9" s="33"/>
      <c r="D9" s="27"/>
    </row>
    <row r="10" spans="1:4" x14ac:dyDescent="0.2">
      <c r="A10" s="32"/>
      <c r="B10" s="27"/>
      <c r="C10" s="33"/>
      <c r="D10" s="27"/>
    </row>
    <row r="11" spans="1:4" x14ac:dyDescent="0.2">
      <c r="A11" s="32"/>
      <c r="B11" s="27"/>
      <c r="C11" s="33"/>
      <c r="D11" s="27"/>
    </row>
    <row r="12" spans="1:4" x14ac:dyDescent="0.2">
      <c r="A12" s="32"/>
      <c r="B12" s="27"/>
      <c r="C12" s="33"/>
      <c r="D12" s="27"/>
    </row>
    <row r="13" spans="1:4" x14ac:dyDescent="0.2">
      <c r="A13" s="32"/>
      <c r="B13" s="27"/>
      <c r="C13" s="33"/>
      <c r="D13" s="27"/>
    </row>
    <row r="14" spans="1:4" x14ac:dyDescent="0.2">
      <c r="A14" s="32"/>
      <c r="B14" s="27"/>
      <c r="C14" s="33"/>
      <c r="D14" s="27"/>
    </row>
    <row r="15" spans="1:4" x14ac:dyDescent="0.2">
      <c r="A15" s="32"/>
      <c r="B15" s="27"/>
      <c r="C15" s="33"/>
      <c r="D15" s="27"/>
    </row>
    <row r="16" spans="1:4" x14ac:dyDescent="0.2">
      <c r="A16" s="32"/>
      <c r="B16" s="27"/>
      <c r="C16" s="33"/>
      <c r="D16" s="27"/>
    </row>
    <row r="17" spans="1:4" x14ac:dyDescent="0.2">
      <c r="A17" s="32"/>
      <c r="B17" s="27"/>
      <c r="C17" s="33"/>
      <c r="D17" s="27"/>
    </row>
    <row r="18" spans="1:4" x14ac:dyDescent="0.2">
      <c r="A18" s="32"/>
      <c r="B18" s="27"/>
      <c r="C18" s="33"/>
      <c r="D18" s="27"/>
    </row>
    <row r="19" spans="1:4" x14ac:dyDescent="0.2">
      <c r="A19" s="32"/>
      <c r="B19" s="27"/>
      <c r="C19" s="33"/>
      <c r="D19" s="27"/>
    </row>
    <row r="20" spans="1:4" x14ac:dyDescent="0.2">
      <c r="A20" s="32"/>
      <c r="B20" s="27"/>
      <c r="C20" s="33"/>
      <c r="D20" s="27"/>
    </row>
    <row r="21" spans="1:4" x14ac:dyDescent="0.2">
      <c r="A21" s="32"/>
      <c r="B21" s="27"/>
      <c r="C21" s="33"/>
      <c r="D21" s="27"/>
    </row>
    <row r="22" spans="1:4" x14ac:dyDescent="0.2">
      <c r="A22" s="32"/>
      <c r="B22" s="27"/>
      <c r="C22" s="33"/>
      <c r="D22" s="27"/>
    </row>
    <row r="23" spans="1:4" x14ac:dyDescent="0.2">
      <c r="A23" s="32"/>
      <c r="B23" s="27"/>
      <c r="C23" s="33"/>
      <c r="D23" s="27"/>
    </row>
    <row r="24" spans="1:4" x14ac:dyDescent="0.2">
      <c r="A24" s="32"/>
      <c r="B24" s="27"/>
      <c r="C24" s="33"/>
      <c r="D24" s="27"/>
    </row>
    <row r="25" spans="1:4" x14ac:dyDescent="0.2">
      <c r="A25" s="32"/>
      <c r="B25" s="27"/>
      <c r="C25" s="33"/>
      <c r="D25" s="27"/>
    </row>
    <row r="26" spans="1:4" x14ac:dyDescent="0.2">
      <c r="A26" s="32"/>
      <c r="B26" s="27"/>
      <c r="C26" s="33"/>
      <c r="D26" s="27"/>
    </row>
    <row r="27" spans="1:4" x14ac:dyDescent="0.2">
      <c r="A27" s="32"/>
      <c r="B27" s="27"/>
      <c r="C27" s="33"/>
      <c r="D27" s="27"/>
    </row>
    <row r="28" spans="1:4" x14ac:dyDescent="0.2">
      <c r="A28" s="32"/>
      <c r="B28" s="27"/>
      <c r="C28" s="33"/>
      <c r="D28" s="27"/>
    </row>
    <row r="29" spans="1:4" x14ac:dyDescent="0.2">
      <c r="A29" s="32"/>
      <c r="B29" s="27"/>
      <c r="C29" s="33"/>
      <c r="D29" s="27"/>
    </row>
    <row r="30" spans="1:4" x14ac:dyDescent="0.2">
      <c r="A30" s="32"/>
      <c r="B30" s="27"/>
      <c r="C30" s="33"/>
      <c r="D30" s="27"/>
    </row>
    <row r="31" spans="1:4" x14ac:dyDescent="0.2">
      <c r="A31" s="32"/>
      <c r="B31" s="27"/>
      <c r="C31" s="33"/>
      <c r="D31" s="27"/>
    </row>
    <row r="32" spans="1:4" x14ac:dyDescent="0.2">
      <c r="A32" s="32"/>
      <c r="B32" s="27"/>
      <c r="C32" s="33"/>
      <c r="D32" s="27"/>
    </row>
    <row r="33" spans="1:4" x14ac:dyDescent="0.2">
      <c r="A33" s="32"/>
      <c r="B33" s="27"/>
      <c r="C33" s="33"/>
      <c r="D33" s="27"/>
    </row>
    <row r="34" spans="1:4" x14ac:dyDescent="0.2">
      <c r="A34" s="32"/>
      <c r="B34" s="27"/>
      <c r="C34" s="33"/>
      <c r="D34" s="27"/>
    </row>
    <row r="35" spans="1:4" x14ac:dyDescent="0.2">
      <c r="A35" s="32"/>
      <c r="B35" s="27"/>
      <c r="C35" s="33"/>
      <c r="D35" s="27"/>
    </row>
    <row r="36" spans="1:4" x14ac:dyDescent="0.2">
      <c r="A36" s="32"/>
      <c r="B36" s="27"/>
      <c r="C36" s="33"/>
      <c r="D36" s="27"/>
    </row>
    <row r="37" spans="1:4" x14ac:dyDescent="0.2">
      <c r="A37" s="32"/>
      <c r="B37" s="27"/>
      <c r="C37" s="33"/>
      <c r="D37" s="27"/>
    </row>
    <row r="38" spans="1:4" x14ac:dyDescent="0.2">
      <c r="A38" s="32"/>
      <c r="B38" s="27"/>
      <c r="C38" s="33"/>
      <c r="D38" s="27"/>
    </row>
    <row r="39" spans="1:4" x14ac:dyDescent="0.2">
      <c r="A39" s="32"/>
      <c r="B39" s="27"/>
      <c r="C39" s="33"/>
      <c r="D39" s="27"/>
    </row>
    <row r="40" spans="1:4" x14ac:dyDescent="0.2">
      <c r="A40" s="32"/>
      <c r="B40" s="27"/>
      <c r="C40" s="33"/>
      <c r="D40" s="27"/>
    </row>
    <row r="41" spans="1:4" x14ac:dyDescent="0.2">
      <c r="A41" s="32"/>
      <c r="B41" s="27"/>
      <c r="C41" s="33"/>
      <c r="D41" s="27"/>
    </row>
    <row r="42" spans="1:4" x14ac:dyDescent="0.2">
      <c r="A42" s="32"/>
      <c r="B42" s="27"/>
      <c r="C42" s="33"/>
      <c r="D42" s="27"/>
    </row>
    <row r="43" spans="1:4" x14ac:dyDescent="0.2">
      <c r="A43" s="32"/>
      <c r="B43" s="27"/>
      <c r="C43" s="33"/>
      <c r="D43" s="27"/>
    </row>
    <row r="44" spans="1:4" x14ac:dyDescent="0.2">
      <c r="A44" s="32"/>
      <c r="B44" s="27"/>
      <c r="C44" s="33"/>
      <c r="D44" s="27"/>
    </row>
    <row r="45" spans="1:4" x14ac:dyDescent="0.2">
      <c r="A45" s="32"/>
      <c r="B45" s="27"/>
      <c r="C45" s="33"/>
      <c r="D45" s="27"/>
    </row>
    <row r="46" spans="1:4" x14ac:dyDescent="0.2">
      <c r="A46" s="32"/>
      <c r="B46" s="27"/>
      <c r="C46" s="33"/>
      <c r="D46" s="27"/>
    </row>
    <row r="47" spans="1:4" x14ac:dyDescent="0.2">
      <c r="A47" s="32"/>
      <c r="B47" s="27"/>
      <c r="C47" s="33"/>
      <c r="D47" s="27"/>
    </row>
    <row r="48" spans="1:4" x14ac:dyDescent="0.2">
      <c r="A48" s="32"/>
      <c r="B48" s="27"/>
      <c r="C48" s="33"/>
      <c r="D48" s="27"/>
    </row>
    <row r="49" spans="1:4" x14ac:dyDescent="0.2">
      <c r="A49" s="32"/>
      <c r="B49" s="27"/>
      <c r="C49" s="33"/>
      <c r="D49" s="27"/>
    </row>
    <row r="50" spans="1:4" x14ac:dyDescent="0.2">
      <c r="A50" s="32"/>
      <c r="B50" s="27"/>
      <c r="C50" s="33"/>
      <c r="D50" s="27"/>
    </row>
    <row r="51" spans="1:4" x14ac:dyDescent="0.2">
      <c r="A51" s="32"/>
      <c r="B51" s="27"/>
      <c r="C51" s="33"/>
      <c r="D51" s="27"/>
    </row>
    <row r="52" spans="1:4" x14ac:dyDescent="0.2">
      <c r="A52" s="32"/>
      <c r="B52" s="27"/>
      <c r="C52" s="33"/>
      <c r="D52" s="27"/>
    </row>
    <row r="53" spans="1:4" x14ac:dyDescent="0.2">
      <c r="A53" s="32"/>
      <c r="B53" s="27"/>
      <c r="C53" s="33"/>
      <c r="D53" s="27"/>
    </row>
    <row r="54" spans="1:4" x14ac:dyDescent="0.2">
      <c r="A54" s="32"/>
      <c r="B54" s="27"/>
      <c r="C54" s="33"/>
      <c r="D54" s="27"/>
    </row>
    <row r="55" spans="1:4" x14ac:dyDescent="0.2">
      <c r="A55" s="32"/>
      <c r="B55" s="27"/>
      <c r="C55" s="33"/>
      <c r="D55" s="27"/>
    </row>
    <row r="56" spans="1:4" x14ac:dyDescent="0.2">
      <c r="A56" s="32"/>
      <c r="B56" s="27"/>
      <c r="C56" s="33"/>
      <c r="D56" s="27"/>
    </row>
    <row r="57" spans="1:4" x14ac:dyDescent="0.2">
      <c r="A57" s="32"/>
      <c r="B57" s="27"/>
      <c r="C57" s="33"/>
      <c r="D57" s="27"/>
    </row>
    <row r="58" spans="1:4" x14ac:dyDescent="0.2">
      <c r="A58" s="32"/>
      <c r="B58" s="27"/>
      <c r="C58" s="33"/>
      <c r="D58" s="27"/>
    </row>
    <row r="59" spans="1:4" x14ac:dyDescent="0.2">
      <c r="A59" s="32"/>
      <c r="B59" s="27"/>
      <c r="C59" s="33"/>
      <c r="D59" s="27"/>
    </row>
    <row r="60" spans="1:4" x14ac:dyDescent="0.2">
      <c r="A60" s="32"/>
      <c r="B60" s="27"/>
      <c r="C60" s="33"/>
      <c r="D60" s="27"/>
    </row>
    <row r="61" spans="1:4" x14ac:dyDescent="0.2">
      <c r="A61" s="32"/>
      <c r="B61" s="27"/>
      <c r="C61" s="33"/>
      <c r="D61" s="27"/>
    </row>
    <row r="62" spans="1:4" x14ac:dyDescent="0.2">
      <c r="A62" s="32"/>
      <c r="B62" s="27"/>
      <c r="C62" s="33"/>
      <c r="D62" s="27"/>
    </row>
    <row r="63" spans="1:4" x14ac:dyDescent="0.2">
      <c r="A63" s="32"/>
      <c r="B63" s="27"/>
      <c r="C63" s="33"/>
      <c r="D63" s="27"/>
    </row>
    <row r="64" spans="1:4" x14ac:dyDescent="0.2">
      <c r="A64" s="32"/>
      <c r="B64" s="27"/>
      <c r="C64" s="33"/>
      <c r="D64" s="27"/>
    </row>
    <row r="65" spans="1:4" x14ac:dyDescent="0.2">
      <c r="A65" s="32"/>
      <c r="B65" s="27"/>
      <c r="C65" s="33"/>
      <c r="D65" s="27"/>
    </row>
    <row r="66" spans="1:4" x14ac:dyDescent="0.2">
      <c r="A66" s="32"/>
      <c r="B66" s="27"/>
      <c r="C66" s="33"/>
      <c r="D66" s="27"/>
    </row>
    <row r="67" spans="1:4" x14ac:dyDescent="0.2">
      <c r="A67" s="32"/>
      <c r="B67" s="27"/>
      <c r="C67" s="33"/>
      <c r="D67" s="27"/>
    </row>
    <row r="68" spans="1:4" x14ac:dyDescent="0.2">
      <c r="A68" s="32"/>
      <c r="B68" s="27"/>
      <c r="C68" s="33"/>
      <c r="D68" s="27"/>
    </row>
    <row r="69" spans="1:4" x14ac:dyDescent="0.2">
      <c r="A69" s="32"/>
      <c r="B69" s="27"/>
      <c r="C69" s="33"/>
      <c r="D69" s="27"/>
    </row>
    <row r="70" spans="1:4" x14ac:dyDescent="0.2">
      <c r="A70" s="32"/>
      <c r="B70" s="27"/>
      <c r="C70" s="33"/>
      <c r="D70" s="27"/>
    </row>
    <row r="71" spans="1:4" x14ac:dyDescent="0.2">
      <c r="A71" s="32"/>
      <c r="B71" s="27"/>
      <c r="C71" s="33"/>
      <c r="D71" s="27"/>
    </row>
    <row r="72" spans="1:4" x14ac:dyDescent="0.2">
      <c r="A72" s="32"/>
      <c r="B72" s="27"/>
      <c r="C72" s="33"/>
      <c r="D72" s="27"/>
    </row>
    <row r="73" spans="1:4" x14ac:dyDescent="0.2">
      <c r="A73" s="32"/>
      <c r="B73" s="27"/>
      <c r="C73" s="33"/>
      <c r="D73" s="27"/>
    </row>
    <row r="74" spans="1:4" x14ac:dyDescent="0.2">
      <c r="A74" s="32"/>
      <c r="B74" s="27"/>
      <c r="C74" s="33"/>
      <c r="D74" s="27"/>
    </row>
    <row r="75" spans="1:4" x14ac:dyDescent="0.2">
      <c r="A75" s="32"/>
      <c r="B75" s="27"/>
      <c r="C75" s="33"/>
      <c r="D75" s="27"/>
    </row>
    <row r="76" spans="1:4" x14ac:dyDescent="0.2">
      <c r="A76" s="32"/>
      <c r="B76" s="27"/>
      <c r="C76" s="33"/>
      <c r="D76" s="27"/>
    </row>
    <row r="77" spans="1:4" x14ac:dyDescent="0.2">
      <c r="A77" s="32"/>
      <c r="B77" s="27"/>
      <c r="C77" s="33"/>
      <c r="D77" s="27"/>
    </row>
    <row r="78" spans="1:4" x14ac:dyDescent="0.2">
      <c r="A78" s="32"/>
      <c r="B78" s="27"/>
      <c r="C78" s="33"/>
      <c r="D78" s="27"/>
    </row>
    <row r="79" spans="1:4" x14ac:dyDescent="0.2">
      <c r="A79" s="32"/>
      <c r="B79" s="27"/>
      <c r="C79" s="33"/>
      <c r="D79" s="27"/>
    </row>
    <row r="80" spans="1:4" x14ac:dyDescent="0.2">
      <c r="A80" s="32"/>
      <c r="B80" s="27"/>
      <c r="C80" s="33"/>
      <c r="D80" s="27"/>
    </row>
    <row r="81" spans="1:4" x14ac:dyDescent="0.2">
      <c r="A81" s="32"/>
      <c r="B81" s="27"/>
      <c r="C81" s="33"/>
      <c r="D81" s="27"/>
    </row>
    <row r="82" spans="1:4" x14ac:dyDescent="0.2">
      <c r="A82" s="32"/>
      <c r="B82" s="27"/>
      <c r="C82" s="33"/>
      <c r="D82" s="27"/>
    </row>
    <row r="83" spans="1:4" x14ac:dyDescent="0.2">
      <c r="A83" s="32"/>
      <c r="B83" s="27"/>
      <c r="C83" s="33"/>
      <c r="D83" s="27"/>
    </row>
    <row r="84" spans="1:4" x14ac:dyDescent="0.2">
      <c r="A84" s="32"/>
      <c r="B84" s="27"/>
      <c r="C84" s="33"/>
      <c r="D84" s="27"/>
    </row>
    <row r="85" spans="1:4" x14ac:dyDescent="0.2">
      <c r="A85" s="32"/>
      <c r="B85" s="27"/>
      <c r="C85" s="33"/>
      <c r="D85" s="27"/>
    </row>
    <row r="86" spans="1:4" x14ac:dyDescent="0.2">
      <c r="A86" s="32"/>
      <c r="B86" s="27"/>
      <c r="C86" s="33"/>
      <c r="D86" s="27"/>
    </row>
    <row r="87" spans="1:4" x14ac:dyDescent="0.2">
      <c r="A87" s="32"/>
      <c r="B87" s="27"/>
      <c r="C87" s="33"/>
      <c r="D87" s="27"/>
    </row>
    <row r="88" spans="1:4" x14ac:dyDescent="0.2">
      <c r="A88" s="32"/>
      <c r="B88" s="27"/>
      <c r="C88" s="33"/>
      <c r="D88" s="27"/>
    </row>
    <row r="89" spans="1:4" x14ac:dyDescent="0.2">
      <c r="A89" s="32"/>
      <c r="B89" s="27"/>
      <c r="C89" s="33"/>
      <c r="D89" s="27"/>
    </row>
    <row r="90" spans="1:4" x14ac:dyDescent="0.2">
      <c r="A90" s="32"/>
      <c r="B90" s="27"/>
      <c r="C90" s="33"/>
      <c r="D90" s="27"/>
    </row>
    <row r="91" spans="1:4" x14ac:dyDescent="0.2">
      <c r="A91" s="32"/>
      <c r="B91" s="27"/>
      <c r="C91" s="33"/>
      <c r="D91" s="27"/>
    </row>
    <row r="92" spans="1:4" x14ac:dyDescent="0.2">
      <c r="A92" s="32"/>
      <c r="B92" s="27"/>
      <c r="C92" s="33"/>
      <c r="D92" s="27"/>
    </row>
    <row r="93" spans="1:4" x14ac:dyDescent="0.2">
      <c r="A93" s="32"/>
      <c r="B93" s="27"/>
      <c r="C93" s="33"/>
      <c r="D93" s="27"/>
    </row>
    <row r="94" spans="1:4" x14ac:dyDescent="0.2">
      <c r="A94" s="32"/>
      <c r="B94" s="27"/>
      <c r="C94" s="33"/>
      <c r="D94" s="27"/>
    </row>
    <row r="95" spans="1:4" x14ac:dyDescent="0.2">
      <c r="A95" s="32"/>
      <c r="B95" s="27"/>
      <c r="C95" s="33"/>
      <c r="D95" s="27"/>
    </row>
    <row r="96" spans="1:4" x14ac:dyDescent="0.2">
      <c r="A96" s="32"/>
      <c r="B96" s="27"/>
      <c r="C96" s="33"/>
      <c r="D96" s="27"/>
    </row>
    <row r="97" spans="1:4" x14ac:dyDescent="0.2">
      <c r="A97" s="32"/>
      <c r="B97" s="27"/>
      <c r="C97" s="33"/>
      <c r="D97" s="27"/>
    </row>
    <row r="98" spans="1:4" x14ac:dyDescent="0.2">
      <c r="A98" s="32"/>
      <c r="B98" s="27"/>
      <c r="C98" s="33"/>
      <c r="D98" s="27"/>
    </row>
    <row r="99" spans="1:4" x14ac:dyDescent="0.2">
      <c r="A99" s="32"/>
      <c r="B99" s="27"/>
      <c r="C99" s="33"/>
      <c r="D99" s="27"/>
    </row>
    <row r="100" spans="1:4" x14ac:dyDescent="0.2">
      <c r="A100" s="32"/>
      <c r="B100" s="27"/>
      <c r="C100" s="33"/>
      <c r="D100" s="27"/>
    </row>
    <row r="101" spans="1:4" x14ac:dyDescent="0.2">
      <c r="A101" s="32"/>
      <c r="B101" s="27"/>
      <c r="C101" s="33"/>
      <c r="D101" s="27"/>
    </row>
    <row r="102" spans="1:4" x14ac:dyDescent="0.2">
      <c r="A102" s="32"/>
      <c r="B102" s="27"/>
      <c r="C102" s="33"/>
      <c r="D102" s="27"/>
    </row>
    <row r="103" spans="1:4" x14ac:dyDescent="0.2">
      <c r="A103" s="32"/>
      <c r="B103" s="27"/>
      <c r="C103" s="33"/>
      <c r="D103" s="27"/>
    </row>
    <row r="104" spans="1:4" x14ac:dyDescent="0.2">
      <c r="A104" s="32"/>
      <c r="B104" s="27"/>
      <c r="C104" s="33"/>
      <c r="D104" s="27"/>
    </row>
    <row r="105" spans="1:4" x14ac:dyDescent="0.2">
      <c r="A105" s="32"/>
      <c r="B105" s="27"/>
      <c r="C105" s="33"/>
      <c r="D105" s="27"/>
    </row>
    <row r="106" spans="1:4" x14ac:dyDescent="0.2">
      <c r="A106" s="32"/>
      <c r="B106" s="27"/>
      <c r="C106" s="33"/>
      <c r="D106" s="27"/>
    </row>
    <row r="107" spans="1:4" x14ac:dyDescent="0.2">
      <c r="A107" s="32"/>
      <c r="B107" s="27"/>
      <c r="C107" s="33"/>
      <c r="D107" s="27"/>
    </row>
    <row r="108" spans="1:4" x14ac:dyDescent="0.2">
      <c r="A108" s="32"/>
      <c r="B108" s="27"/>
      <c r="C108" s="33"/>
      <c r="D108" s="27"/>
    </row>
    <row r="109" spans="1:4" x14ac:dyDescent="0.2">
      <c r="A109" s="32"/>
      <c r="B109" s="27"/>
      <c r="C109" s="33"/>
      <c r="D109" s="27"/>
    </row>
    <row r="110" spans="1:4" x14ac:dyDescent="0.2">
      <c r="A110" s="32"/>
      <c r="B110" s="27"/>
      <c r="C110" s="33"/>
      <c r="D110" s="27"/>
    </row>
    <row r="111" spans="1:4" x14ac:dyDescent="0.2">
      <c r="A111" s="32"/>
      <c r="B111" s="27"/>
      <c r="C111" s="33"/>
      <c r="D111" s="27"/>
    </row>
    <row r="112" spans="1:4" x14ac:dyDescent="0.2">
      <c r="A112" s="32"/>
      <c r="B112" s="27"/>
      <c r="C112" s="33"/>
      <c r="D112" s="27"/>
    </row>
    <row r="113" spans="1:4" x14ac:dyDescent="0.2">
      <c r="A113" s="32"/>
      <c r="B113" s="27"/>
      <c r="C113" s="33"/>
      <c r="D113" s="27"/>
    </row>
    <row r="114" spans="1:4" x14ac:dyDescent="0.2">
      <c r="A114" s="32"/>
      <c r="B114" s="27"/>
      <c r="C114" s="33"/>
      <c r="D114" s="27"/>
    </row>
    <row r="115" spans="1:4" x14ac:dyDescent="0.2">
      <c r="A115" s="32"/>
      <c r="B115" s="27"/>
      <c r="C115" s="33"/>
      <c r="D115" s="27"/>
    </row>
    <row r="116" spans="1:4" x14ac:dyDescent="0.2">
      <c r="A116" s="32"/>
      <c r="B116" s="27"/>
      <c r="C116" s="33"/>
      <c r="D116" s="27"/>
    </row>
    <row r="117" spans="1:4" x14ac:dyDescent="0.2">
      <c r="A117" s="32"/>
      <c r="B117" s="27"/>
      <c r="C117" s="33"/>
      <c r="D117" s="27"/>
    </row>
    <row r="118" spans="1:4" x14ac:dyDescent="0.2">
      <c r="A118" s="32"/>
      <c r="B118" s="27"/>
      <c r="C118" s="33"/>
      <c r="D118" s="27"/>
    </row>
    <row r="119" spans="1:4" x14ac:dyDescent="0.2">
      <c r="A119" s="32"/>
      <c r="B119" s="27"/>
      <c r="C119" s="33"/>
      <c r="D119" s="27"/>
    </row>
    <row r="120" spans="1:4" x14ac:dyDescent="0.2">
      <c r="A120" s="32"/>
      <c r="B120" s="27"/>
      <c r="C120" s="33"/>
      <c r="D120" s="27"/>
    </row>
    <row r="121" spans="1:4" x14ac:dyDescent="0.2">
      <c r="A121" s="32"/>
      <c r="B121" s="27"/>
      <c r="C121" s="33"/>
      <c r="D121" s="27"/>
    </row>
    <row r="122" spans="1:4" x14ac:dyDescent="0.2">
      <c r="A122" s="32"/>
      <c r="B122" s="27"/>
      <c r="C122" s="33"/>
      <c r="D122" s="27"/>
    </row>
    <row r="123" spans="1:4" x14ac:dyDescent="0.2">
      <c r="A123" s="32"/>
      <c r="B123" s="27"/>
      <c r="C123" s="33"/>
      <c r="D123" s="27"/>
    </row>
    <row r="124" spans="1:4" x14ac:dyDescent="0.2">
      <c r="A124" s="32"/>
      <c r="B124" s="27"/>
      <c r="C124" s="33"/>
      <c r="D124" s="27"/>
    </row>
    <row r="125" spans="1:4" x14ac:dyDescent="0.2">
      <c r="A125" s="32"/>
      <c r="B125" s="27"/>
      <c r="C125" s="33"/>
      <c r="D125" s="27"/>
    </row>
    <row r="126" spans="1:4" x14ac:dyDescent="0.2">
      <c r="A126" s="32"/>
      <c r="B126" s="27"/>
      <c r="C126" s="33"/>
      <c r="D126" s="27"/>
    </row>
    <row r="127" spans="1:4" x14ac:dyDescent="0.2">
      <c r="A127" s="32"/>
      <c r="B127" s="27"/>
      <c r="C127" s="33"/>
      <c r="D127" s="27"/>
    </row>
    <row r="128" spans="1:4" x14ac:dyDescent="0.2">
      <c r="A128" s="32"/>
      <c r="B128" s="27"/>
      <c r="C128" s="33"/>
      <c r="D128" s="27"/>
    </row>
    <row r="129" spans="1:4" x14ac:dyDescent="0.2">
      <c r="A129" s="32"/>
      <c r="B129" s="27"/>
      <c r="C129" s="33"/>
      <c r="D129" s="27"/>
    </row>
    <row r="130" spans="1:4" x14ac:dyDescent="0.2">
      <c r="A130" s="32"/>
      <c r="B130" s="27"/>
      <c r="C130" s="33"/>
      <c r="D130" s="27"/>
    </row>
    <row r="131" spans="1:4" x14ac:dyDescent="0.2">
      <c r="A131" s="32"/>
      <c r="B131" s="27"/>
      <c r="C131" s="33"/>
      <c r="D131" s="27"/>
    </row>
    <row r="132" spans="1:4" x14ac:dyDescent="0.2">
      <c r="A132" s="32"/>
      <c r="B132" s="27"/>
      <c r="C132" s="33"/>
      <c r="D132" s="27"/>
    </row>
    <row r="133" spans="1:4" x14ac:dyDescent="0.2">
      <c r="A133" s="32"/>
      <c r="B133" s="27"/>
      <c r="C133" s="33"/>
      <c r="D133" s="27"/>
    </row>
    <row r="134" spans="1:4" x14ac:dyDescent="0.2">
      <c r="A134" s="32"/>
      <c r="B134" s="27"/>
      <c r="C134" s="33"/>
      <c r="D134" s="27"/>
    </row>
    <row r="135" spans="1:4" x14ac:dyDescent="0.2">
      <c r="A135" s="32"/>
      <c r="B135" s="27"/>
      <c r="C135" s="33"/>
      <c r="D135" s="27"/>
    </row>
    <row r="136" spans="1:4" x14ac:dyDescent="0.2">
      <c r="A136" s="32"/>
      <c r="B136" s="27"/>
      <c r="C136" s="33"/>
      <c r="D136" s="27"/>
    </row>
    <row r="137" spans="1:4" x14ac:dyDescent="0.2">
      <c r="A137" s="32"/>
      <c r="B137" s="27"/>
      <c r="C137" s="33"/>
      <c r="D137" s="27"/>
    </row>
    <row r="138" spans="1:4" x14ac:dyDescent="0.2">
      <c r="A138" s="32"/>
      <c r="B138" s="27"/>
      <c r="C138" s="33"/>
      <c r="D138" s="27"/>
    </row>
    <row r="139" spans="1:4" x14ac:dyDescent="0.2">
      <c r="A139" s="32"/>
      <c r="B139" s="27"/>
      <c r="C139" s="33"/>
      <c r="D139" s="27"/>
    </row>
    <row r="140" spans="1:4" x14ac:dyDescent="0.2">
      <c r="A140" s="32"/>
      <c r="B140" s="27"/>
      <c r="C140" s="33"/>
      <c r="D140" s="27"/>
    </row>
    <row r="141" spans="1:4" x14ac:dyDescent="0.2">
      <c r="A141" s="32"/>
      <c r="B141" s="27"/>
      <c r="C141" s="33"/>
      <c r="D141" s="27"/>
    </row>
    <row r="142" spans="1:4" x14ac:dyDescent="0.2">
      <c r="A142" s="32"/>
      <c r="B142" s="27"/>
      <c r="C142" s="33"/>
      <c r="D142" s="27"/>
    </row>
    <row r="143" spans="1:4" x14ac:dyDescent="0.2">
      <c r="A143" s="32"/>
      <c r="B143" s="27"/>
      <c r="C143" s="33"/>
      <c r="D143" s="27"/>
    </row>
    <row r="144" spans="1:4" x14ac:dyDescent="0.2">
      <c r="A144" s="32"/>
      <c r="B144" s="27"/>
      <c r="C144" s="33"/>
      <c r="D144" s="27"/>
    </row>
    <row r="145" spans="1:4" x14ac:dyDescent="0.2">
      <c r="A145" s="32"/>
      <c r="B145" s="27"/>
      <c r="C145" s="33"/>
      <c r="D145" s="27"/>
    </row>
    <row r="146" spans="1:4" x14ac:dyDescent="0.2">
      <c r="A146" s="32"/>
      <c r="B146" s="27"/>
      <c r="C146" s="33"/>
      <c r="D146" s="27"/>
    </row>
    <row r="147" spans="1:4" x14ac:dyDescent="0.2">
      <c r="A147" s="32"/>
      <c r="B147" s="27"/>
      <c r="C147" s="33"/>
      <c r="D147" s="27"/>
    </row>
    <row r="148" spans="1:4" x14ac:dyDescent="0.2">
      <c r="A148" s="32"/>
      <c r="B148" s="27"/>
      <c r="C148" s="33"/>
      <c r="D148" s="27"/>
    </row>
    <row r="149" spans="1:4" x14ac:dyDescent="0.2">
      <c r="A149" s="32"/>
      <c r="B149" s="27"/>
      <c r="C149" s="33"/>
      <c r="D149" s="27"/>
    </row>
    <row r="150" spans="1:4" x14ac:dyDescent="0.2">
      <c r="A150" s="32"/>
      <c r="B150" s="27"/>
      <c r="C150" s="33"/>
      <c r="D150" s="27"/>
    </row>
    <row r="151" spans="1:4" x14ac:dyDescent="0.2">
      <c r="A151" s="32"/>
      <c r="B151" s="27"/>
      <c r="C151" s="33"/>
      <c r="D151" s="27"/>
    </row>
    <row r="152" spans="1:4" x14ac:dyDescent="0.2">
      <c r="A152" s="32"/>
      <c r="B152" s="27"/>
      <c r="C152" s="33"/>
      <c r="D152" s="27"/>
    </row>
    <row r="153" spans="1:4" x14ac:dyDescent="0.2">
      <c r="A153" s="32"/>
      <c r="B153" s="27"/>
      <c r="C153" s="33"/>
      <c r="D153" s="27"/>
    </row>
    <row r="154" spans="1:4" x14ac:dyDescent="0.2">
      <c r="A154" s="32"/>
      <c r="B154" s="27"/>
      <c r="C154" s="33"/>
      <c r="D154" s="27"/>
    </row>
    <row r="155" spans="1:4" x14ac:dyDescent="0.2">
      <c r="A155" s="32"/>
      <c r="B155" s="27"/>
      <c r="C155" s="33"/>
      <c r="D155" s="27"/>
    </row>
    <row r="156" spans="1:4" x14ac:dyDescent="0.2">
      <c r="A156" s="32"/>
      <c r="B156" s="27"/>
      <c r="C156" s="33"/>
      <c r="D156" s="27"/>
    </row>
    <row r="157" spans="1:4" x14ac:dyDescent="0.2">
      <c r="A157" s="32"/>
      <c r="B157" s="27"/>
      <c r="C157" s="33"/>
      <c r="D157" s="27"/>
    </row>
    <row r="158" spans="1:4" x14ac:dyDescent="0.2">
      <c r="A158" s="32"/>
      <c r="B158" s="27"/>
      <c r="C158" s="33"/>
      <c r="D158" s="27"/>
    </row>
    <row r="159" spans="1:4" x14ac:dyDescent="0.2">
      <c r="A159" s="32"/>
      <c r="B159" s="27"/>
      <c r="C159" s="33"/>
      <c r="D159" s="27"/>
    </row>
    <row r="160" spans="1:4" x14ac:dyDescent="0.2">
      <c r="A160" s="32"/>
      <c r="B160" s="27"/>
      <c r="C160" s="33"/>
      <c r="D160" s="27"/>
    </row>
    <row r="161" spans="1:4" x14ac:dyDescent="0.2">
      <c r="A161" s="32"/>
      <c r="B161" s="27"/>
      <c r="C161" s="33"/>
      <c r="D161" s="27"/>
    </row>
    <row r="162" spans="1:4" x14ac:dyDescent="0.2">
      <c r="A162" s="32"/>
      <c r="B162" s="27"/>
      <c r="C162" s="33"/>
      <c r="D162" s="27"/>
    </row>
    <row r="163" spans="1:4" x14ac:dyDescent="0.2">
      <c r="A163" s="32"/>
      <c r="B163" s="27"/>
      <c r="C163" s="33"/>
      <c r="D163" s="27"/>
    </row>
    <row r="164" spans="1:4" x14ac:dyDescent="0.2">
      <c r="A164" s="32"/>
      <c r="B164" s="27"/>
      <c r="C164" s="33"/>
      <c r="D164" s="27"/>
    </row>
    <row r="165" spans="1:4" x14ac:dyDescent="0.2">
      <c r="A165" s="32"/>
      <c r="B165" s="27"/>
      <c r="C165" s="33"/>
      <c r="D165" s="27"/>
    </row>
    <row r="166" spans="1:4" x14ac:dyDescent="0.2">
      <c r="A166" s="32"/>
      <c r="B166" s="27"/>
      <c r="C166" s="33"/>
      <c r="D166" s="27"/>
    </row>
    <row r="167" spans="1:4" x14ac:dyDescent="0.2">
      <c r="A167" s="32"/>
      <c r="B167" s="27"/>
      <c r="C167" s="33"/>
      <c r="D167" s="27"/>
    </row>
    <row r="168" spans="1:4" x14ac:dyDescent="0.2">
      <c r="A168" s="32"/>
      <c r="B168" s="27"/>
      <c r="C168" s="33"/>
      <c r="D168" s="27"/>
    </row>
    <row r="169" spans="1:4" x14ac:dyDescent="0.2">
      <c r="A169" s="32"/>
      <c r="B169" s="27"/>
      <c r="C169" s="33"/>
      <c r="D169" s="27"/>
    </row>
    <row r="170" spans="1:4" x14ac:dyDescent="0.2">
      <c r="A170" s="32"/>
      <c r="B170" s="27"/>
      <c r="C170" s="33"/>
      <c r="D170" s="27"/>
    </row>
    <row r="171" spans="1:4" x14ac:dyDescent="0.2">
      <c r="A171" s="32"/>
      <c r="B171" s="27"/>
      <c r="C171" s="33"/>
      <c r="D171" s="27"/>
    </row>
    <row r="172" spans="1:4" x14ac:dyDescent="0.2">
      <c r="A172" s="32"/>
      <c r="B172" s="27"/>
      <c r="C172" s="33"/>
      <c r="D172" s="27"/>
    </row>
    <row r="173" spans="1:4" x14ac:dyDescent="0.2">
      <c r="A173" s="32"/>
      <c r="B173" s="27"/>
      <c r="C173" s="33"/>
      <c r="D173" s="27"/>
    </row>
    <row r="174" spans="1:4" x14ac:dyDescent="0.2">
      <c r="A174" s="32"/>
      <c r="B174" s="27"/>
      <c r="C174" s="33"/>
      <c r="D174" s="27"/>
    </row>
    <row r="175" spans="1:4" x14ac:dyDescent="0.2">
      <c r="A175" s="32"/>
      <c r="B175" s="27"/>
      <c r="C175" s="33"/>
      <c r="D175" s="27"/>
    </row>
    <row r="176" spans="1:4" x14ac:dyDescent="0.2">
      <c r="A176" s="32"/>
      <c r="B176" s="27"/>
      <c r="C176" s="33"/>
      <c r="D176" s="27"/>
    </row>
    <row r="177" spans="1:4" x14ac:dyDescent="0.2">
      <c r="A177" s="32"/>
      <c r="B177" s="27"/>
      <c r="C177" s="33"/>
      <c r="D177" s="27"/>
    </row>
    <row r="178" spans="1:4" x14ac:dyDescent="0.2">
      <c r="A178" s="32"/>
      <c r="B178" s="27"/>
      <c r="C178" s="33"/>
      <c r="D178" s="27"/>
    </row>
    <row r="179" spans="1:4" x14ac:dyDescent="0.2">
      <c r="A179" s="32"/>
      <c r="B179" s="27"/>
      <c r="C179" s="33"/>
      <c r="D179" s="27"/>
    </row>
    <row r="180" spans="1:4" x14ac:dyDescent="0.2">
      <c r="A180" s="32"/>
      <c r="B180" s="27"/>
      <c r="C180" s="33"/>
      <c r="D180" s="27"/>
    </row>
    <row r="181" spans="1:4" x14ac:dyDescent="0.2">
      <c r="A181" s="32"/>
      <c r="B181" s="27"/>
      <c r="C181" s="33"/>
      <c r="D181" s="27"/>
    </row>
    <row r="182" spans="1:4" x14ac:dyDescent="0.2">
      <c r="A182" s="32"/>
      <c r="B182" s="27"/>
      <c r="C182" s="33"/>
      <c r="D182" s="27"/>
    </row>
    <row r="183" spans="1:4" x14ac:dyDescent="0.2">
      <c r="A183" s="32"/>
      <c r="B183" s="27"/>
      <c r="C183" s="33"/>
      <c r="D183" s="27"/>
    </row>
    <row r="184" spans="1:4" x14ac:dyDescent="0.2">
      <c r="A184" s="32"/>
      <c r="B184" s="27"/>
      <c r="C184" s="33"/>
      <c r="D184" s="27"/>
    </row>
    <row r="185" spans="1:4" x14ac:dyDescent="0.2">
      <c r="A185" s="32"/>
      <c r="B185" s="27"/>
      <c r="C185" s="33"/>
      <c r="D185" s="27"/>
    </row>
    <row r="186" spans="1:4" x14ac:dyDescent="0.2">
      <c r="A186" s="32"/>
      <c r="B186" s="27"/>
      <c r="C186" s="33"/>
      <c r="D186" s="27"/>
    </row>
    <row r="187" spans="1:4" x14ac:dyDescent="0.2">
      <c r="A187" s="32"/>
      <c r="B187" s="27"/>
      <c r="C187" s="33"/>
      <c r="D187" s="27"/>
    </row>
    <row r="188" spans="1:4" x14ac:dyDescent="0.2">
      <c r="A188" s="32"/>
      <c r="B188" s="27"/>
      <c r="C188" s="33"/>
      <c r="D188" s="27"/>
    </row>
    <row r="189" spans="1:4" x14ac:dyDescent="0.2">
      <c r="A189" s="32"/>
      <c r="B189" s="27"/>
      <c r="C189" s="33"/>
      <c r="D189" s="27"/>
    </row>
    <row r="190" spans="1:4" x14ac:dyDescent="0.2">
      <c r="A190" s="32"/>
      <c r="B190" s="27"/>
      <c r="C190" s="33"/>
      <c r="D190" s="27"/>
    </row>
    <row r="191" spans="1:4" x14ac:dyDescent="0.2">
      <c r="A191" s="32"/>
      <c r="B191" s="27"/>
      <c r="C191" s="33"/>
      <c r="D191" s="27"/>
    </row>
    <row r="192" spans="1:4" x14ac:dyDescent="0.2">
      <c r="A192" s="32"/>
      <c r="B192" s="27"/>
      <c r="C192" s="33"/>
      <c r="D192" s="27"/>
    </row>
    <row r="193" spans="1:4" x14ac:dyDescent="0.2">
      <c r="A193" s="32"/>
      <c r="B193" s="27"/>
      <c r="C193" s="33"/>
      <c r="D193" s="27"/>
    </row>
    <row r="194" spans="1:4" x14ac:dyDescent="0.2">
      <c r="A194" s="32"/>
      <c r="B194" s="27"/>
      <c r="C194" s="33"/>
      <c r="D194" s="27"/>
    </row>
    <row r="195" spans="1:4" x14ac:dyDescent="0.2">
      <c r="A195" s="32"/>
      <c r="B195" s="27"/>
      <c r="C195" s="33"/>
      <c r="D195" s="27"/>
    </row>
    <row r="196" spans="1:4" x14ac:dyDescent="0.2">
      <c r="A196" s="32"/>
      <c r="B196" s="27"/>
      <c r="C196" s="33"/>
      <c r="D196" s="27"/>
    </row>
    <row r="197" spans="1:4" x14ac:dyDescent="0.2">
      <c r="A197" s="32"/>
      <c r="B197" s="27"/>
      <c r="C197" s="33"/>
      <c r="D197" s="27"/>
    </row>
    <row r="198" spans="1:4" x14ac:dyDescent="0.2">
      <c r="A198" s="32"/>
      <c r="B198" s="27"/>
      <c r="C198" s="33"/>
      <c r="D198" s="27"/>
    </row>
    <row r="199" spans="1:4" x14ac:dyDescent="0.2">
      <c r="A199" s="32"/>
      <c r="B199" s="27"/>
      <c r="C199" s="33"/>
      <c r="D199" s="27"/>
    </row>
    <row r="200" spans="1:4" x14ac:dyDescent="0.2">
      <c r="A200" s="32"/>
      <c r="B200" s="27"/>
      <c r="C200" s="33"/>
      <c r="D200" s="27"/>
    </row>
    <row r="201" spans="1:4" x14ac:dyDescent="0.2">
      <c r="A201" s="32"/>
      <c r="B201" s="27"/>
      <c r="C201" s="33"/>
      <c r="D201" s="27"/>
    </row>
    <row r="202" spans="1:4" x14ac:dyDescent="0.2">
      <c r="A202" s="32"/>
      <c r="B202" s="27"/>
      <c r="C202" s="33"/>
      <c r="D202" s="27"/>
    </row>
    <row r="203" spans="1:4" x14ac:dyDescent="0.2">
      <c r="A203" s="32"/>
      <c r="B203" s="27"/>
      <c r="C203" s="33"/>
      <c r="D203" s="27"/>
    </row>
    <row r="204" spans="1:4" x14ac:dyDescent="0.2">
      <c r="A204" s="32"/>
      <c r="B204" s="27"/>
      <c r="C204" s="33"/>
      <c r="D204" s="27"/>
    </row>
    <row r="205" spans="1:4" x14ac:dyDescent="0.2">
      <c r="A205" s="32"/>
      <c r="B205" s="27"/>
      <c r="C205" s="33"/>
      <c r="D205" s="27"/>
    </row>
    <row r="206" spans="1:4" x14ac:dyDescent="0.2">
      <c r="A206" s="32"/>
      <c r="B206" s="27"/>
      <c r="C206" s="33"/>
      <c r="D206" s="27"/>
    </row>
    <row r="207" spans="1:4" x14ac:dyDescent="0.2">
      <c r="A207" s="32"/>
      <c r="B207" s="27"/>
      <c r="C207" s="33"/>
      <c r="D207" s="27"/>
    </row>
    <row r="208" spans="1:4" x14ac:dyDescent="0.2">
      <c r="A208" s="32"/>
      <c r="B208" s="27"/>
      <c r="C208" s="33"/>
      <c r="D208" s="27"/>
    </row>
    <row r="209" spans="1:4" x14ac:dyDescent="0.2">
      <c r="A209" s="32"/>
      <c r="B209" s="27"/>
      <c r="C209" s="33"/>
      <c r="D209" s="27"/>
    </row>
    <row r="210" spans="1:4" x14ac:dyDescent="0.2">
      <c r="A210" s="32"/>
      <c r="B210" s="27"/>
      <c r="C210" s="33"/>
      <c r="D210" s="27"/>
    </row>
    <row r="211" spans="1:4" x14ac:dyDescent="0.2">
      <c r="A211" s="32"/>
      <c r="B211" s="27"/>
      <c r="C211" s="33"/>
      <c r="D211" s="27"/>
    </row>
    <row r="212" spans="1:4" x14ac:dyDescent="0.2">
      <c r="A212" s="32"/>
      <c r="B212" s="27"/>
      <c r="C212" s="33"/>
      <c r="D212" s="27"/>
    </row>
    <row r="213" spans="1:4" x14ac:dyDescent="0.2">
      <c r="A213" s="32"/>
      <c r="B213" s="27"/>
      <c r="C213" s="33"/>
      <c r="D213" s="27"/>
    </row>
    <row r="214" spans="1:4" x14ac:dyDescent="0.2">
      <c r="A214" s="32"/>
      <c r="B214" s="27"/>
      <c r="C214" s="33"/>
      <c r="D214" s="27"/>
    </row>
    <row r="215" spans="1:4" x14ac:dyDescent="0.2">
      <c r="A215" s="32"/>
      <c r="B215" s="27"/>
      <c r="C215" s="33"/>
      <c r="D215" s="27"/>
    </row>
    <row r="216" spans="1:4" x14ac:dyDescent="0.2">
      <c r="A216" s="32"/>
      <c r="B216" s="27"/>
      <c r="C216" s="33"/>
      <c r="D216" s="27"/>
    </row>
    <row r="217" spans="1:4" x14ac:dyDescent="0.2">
      <c r="A217" s="32"/>
      <c r="B217" s="27"/>
      <c r="C217" s="33"/>
      <c r="D217" s="27"/>
    </row>
    <row r="218" spans="1:4" x14ac:dyDescent="0.2">
      <c r="A218" s="32"/>
      <c r="B218" s="27"/>
      <c r="C218" s="33"/>
      <c r="D218" s="27"/>
    </row>
    <row r="219" spans="1:4" x14ac:dyDescent="0.2">
      <c r="A219" s="32"/>
      <c r="B219" s="27"/>
      <c r="C219" s="33"/>
      <c r="D219" s="27"/>
    </row>
    <row r="220" spans="1:4" x14ac:dyDescent="0.2">
      <c r="A220" s="32"/>
      <c r="B220" s="27"/>
      <c r="C220" s="33"/>
      <c r="D220" s="27"/>
    </row>
    <row r="221" spans="1:4" x14ac:dyDescent="0.2">
      <c r="A221" s="32"/>
      <c r="B221" s="27"/>
      <c r="C221" s="33"/>
      <c r="D221" s="27"/>
    </row>
    <row r="222" spans="1:4" x14ac:dyDescent="0.2">
      <c r="A222" s="32"/>
      <c r="B222" s="27"/>
      <c r="C222" s="33"/>
      <c r="D222" s="27"/>
    </row>
    <row r="223" spans="1:4" x14ac:dyDescent="0.2">
      <c r="A223" s="32"/>
      <c r="B223" s="27"/>
      <c r="C223" s="33"/>
      <c r="D223" s="27"/>
    </row>
    <row r="224" spans="1:4" x14ac:dyDescent="0.2">
      <c r="A224" s="32"/>
      <c r="B224" s="27"/>
      <c r="C224" s="33"/>
      <c r="D224" s="27"/>
    </row>
    <row r="225" spans="1:4" x14ac:dyDescent="0.2">
      <c r="A225" s="32"/>
      <c r="B225" s="27"/>
      <c r="C225" s="33"/>
      <c r="D225" s="27"/>
    </row>
    <row r="226" spans="1:4" x14ac:dyDescent="0.2">
      <c r="A226" s="32"/>
      <c r="B226" s="27"/>
      <c r="C226" s="33"/>
      <c r="D226" s="27"/>
    </row>
    <row r="227" spans="1:4" x14ac:dyDescent="0.2">
      <c r="A227" s="32"/>
      <c r="B227" s="27"/>
      <c r="C227" s="33"/>
      <c r="D227" s="27"/>
    </row>
    <row r="228" spans="1:4" x14ac:dyDescent="0.2">
      <c r="A228" s="32"/>
      <c r="B228" s="27"/>
      <c r="C228" s="33"/>
      <c r="D228" s="27"/>
    </row>
    <row r="229" spans="1:4" x14ac:dyDescent="0.2">
      <c r="A229" s="32"/>
      <c r="B229" s="27"/>
      <c r="C229" s="33"/>
      <c r="D229" s="27"/>
    </row>
    <row r="230" spans="1:4" x14ac:dyDescent="0.2">
      <c r="A230" s="32"/>
      <c r="B230" s="27"/>
      <c r="C230" s="33"/>
      <c r="D230" s="27"/>
    </row>
    <row r="231" spans="1:4" x14ac:dyDescent="0.2">
      <c r="A231" s="32"/>
      <c r="B231" s="27"/>
      <c r="C231" s="33"/>
      <c r="D231" s="27"/>
    </row>
    <row r="232" spans="1:4" x14ac:dyDescent="0.2">
      <c r="A232" s="32"/>
      <c r="B232" s="27"/>
      <c r="C232" s="33"/>
      <c r="D232" s="27"/>
    </row>
    <row r="233" spans="1:4" x14ac:dyDescent="0.2">
      <c r="A233" s="32"/>
      <c r="B233" s="27"/>
      <c r="C233" s="33"/>
      <c r="D233" s="27"/>
    </row>
    <row r="234" spans="1:4" x14ac:dyDescent="0.2">
      <c r="A234" s="32"/>
      <c r="B234" s="27"/>
      <c r="C234" s="33"/>
      <c r="D234" s="27"/>
    </row>
    <row r="235" spans="1:4" x14ac:dyDescent="0.2">
      <c r="A235" s="32"/>
      <c r="B235" s="27"/>
      <c r="C235" s="33"/>
      <c r="D235" s="27"/>
    </row>
    <row r="236" spans="1:4" x14ac:dyDescent="0.2">
      <c r="A236" s="32"/>
      <c r="B236" s="27"/>
      <c r="C236" s="33"/>
      <c r="D236" s="27"/>
    </row>
    <row r="237" spans="1:4" x14ac:dyDescent="0.2">
      <c r="A237" s="32"/>
      <c r="B237" s="27"/>
      <c r="C237" s="33"/>
      <c r="D237" s="27"/>
    </row>
    <row r="238" spans="1:4" x14ac:dyDescent="0.2">
      <c r="A238" s="32"/>
      <c r="B238" s="27"/>
      <c r="C238" s="33"/>
      <c r="D238" s="27"/>
    </row>
    <row r="239" spans="1:4" x14ac:dyDescent="0.2">
      <c r="A239" s="32"/>
      <c r="B239" s="27"/>
      <c r="C239" s="33"/>
      <c r="D239" s="27"/>
    </row>
    <row r="240" spans="1:4" x14ac:dyDescent="0.2">
      <c r="A240" s="32"/>
      <c r="B240" s="27"/>
      <c r="C240" s="33"/>
      <c r="D240" s="27"/>
    </row>
    <row r="241" spans="1:4" x14ac:dyDescent="0.2">
      <c r="A241" s="32"/>
      <c r="B241" s="27"/>
      <c r="C241" s="33"/>
      <c r="D241" s="27"/>
    </row>
    <row r="242" spans="1:4" x14ac:dyDescent="0.2">
      <c r="A242" s="32"/>
      <c r="B242" s="27"/>
      <c r="C242" s="33"/>
      <c r="D242" s="27"/>
    </row>
    <row r="243" spans="1:4" x14ac:dyDescent="0.2">
      <c r="A243" s="32"/>
      <c r="B243" s="27"/>
      <c r="C243" s="33"/>
      <c r="D243" s="27"/>
    </row>
    <row r="244" spans="1:4" x14ac:dyDescent="0.2">
      <c r="A244" s="32"/>
      <c r="B244" s="27"/>
      <c r="C244" s="33"/>
      <c r="D244" s="27"/>
    </row>
    <row r="245" spans="1:4" x14ac:dyDescent="0.2">
      <c r="A245" s="32"/>
      <c r="B245" s="27"/>
      <c r="C245" s="33"/>
      <c r="D245" s="27"/>
    </row>
    <row r="246" spans="1:4" x14ac:dyDescent="0.2">
      <c r="A246" s="32"/>
      <c r="B246" s="27"/>
      <c r="C246" s="33"/>
      <c r="D246" s="27"/>
    </row>
    <row r="247" spans="1:4" x14ac:dyDescent="0.2">
      <c r="A247" s="32"/>
      <c r="B247" s="27"/>
      <c r="C247" s="33"/>
      <c r="D247" s="27"/>
    </row>
    <row r="248" spans="1:4" x14ac:dyDescent="0.2">
      <c r="A248" s="32"/>
      <c r="B248" s="27"/>
      <c r="C248" s="33"/>
      <c r="D248" s="27"/>
    </row>
    <row r="249" spans="1:4" x14ac:dyDescent="0.2">
      <c r="A249" s="32"/>
      <c r="B249" s="27"/>
      <c r="C249" s="33"/>
      <c r="D249" s="27"/>
    </row>
    <row r="250" spans="1:4" x14ac:dyDescent="0.2">
      <c r="A250" s="32"/>
      <c r="B250" s="27"/>
      <c r="C250" s="33"/>
      <c r="D250" s="27"/>
    </row>
    <row r="251" spans="1:4" x14ac:dyDescent="0.2">
      <c r="A251" s="32"/>
      <c r="B251" s="27"/>
      <c r="C251" s="33"/>
      <c r="D251" s="27"/>
    </row>
    <row r="252" spans="1:4" x14ac:dyDescent="0.2">
      <c r="A252" s="32"/>
      <c r="B252" s="27"/>
      <c r="C252" s="33"/>
      <c r="D252" s="27"/>
    </row>
    <row r="253" spans="1:4" x14ac:dyDescent="0.2">
      <c r="A253" s="32"/>
      <c r="B253" s="27"/>
      <c r="C253" s="33"/>
      <c r="D253" s="27"/>
    </row>
    <row r="254" spans="1:4" x14ac:dyDescent="0.2">
      <c r="A254" s="32"/>
      <c r="B254" s="27"/>
      <c r="C254" s="33"/>
      <c r="D254" s="27"/>
    </row>
    <row r="255" spans="1:4" x14ac:dyDescent="0.2">
      <c r="A255" s="32"/>
      <c r="B255" s="27"/>
      <c r="C255" s="33"/>
      <c r="D255" s="27"/>
    </row>
    <row r="256" spans="1:4" x14ac:dyDescent="0.2">
      <c r="A256" s="32"/>
      <c r="B256" s="27"/>
      <c r="C256" s="33"/>
      <c r="D256" s="27"/>
    </row>
    <row r="257" spans="1:4" x14ac:dyDescent="0.2">
      <c r="A257" s="32"/>
      <c r="B257" s="27"/>
      <c r="C257" s="33"/>
      <c r="D257" s="27"/>
    </row>
    <row r="258" spans="1:4" x14ac:dyDescent="0.2">
      <c r="A258" s="32"/>
      <c r="B258" s="27"/>
      <c r="C258" s="33"/>
      <c r="D258" s="27"/>
    </row>
    <row r="259" spans="1:4" x14ac:dyDescent="0.2">
      <c r="A259" s="32"/>
      <c r="B259" s="27"/>
      <c r="C259" s="33"/>
      <c r="D259" s="27"/>
    </row>
    <row r="260" spans="1:4" x14ac:dyDescent="0.2">
      <c r="A260" s="32"/>
      <c r="B260" s="27"/>
      <c r="C260" s="33"/>
      <c r="D260" s="27"/>
    </row>
    <row r="261" spans="1:4" x14ac:dyDescent="0.2">
      <c r="A261" s="32"/>
      <c r="B261" s="27"/>
      <c r="C261" s="33"/>
      <c r="D261" s="27"/>
    </row>
    <row r="262" spans="1:4" x14ac:dyDescent="0.2">
      <c r="A262" s="32"/>
      <c r="B262" s="27"/>
      <c r="C262" s="33"/>
      <c r="D262" s="27"/>
    </row>
    <row r="263" spans="1:4" x14ac:dyDescent="0.2">
      <c r="A263" s="32"/>
      <c r="B263" s="27"/>
      <c r="C263" s="33"/>
      <c r="D263" s="27"/>
    </row>
    <row r="264" spans="1:4" x14ac:dyDescent="0.2">
      <c r="A264" s="32"/>
      <c r="B264" s="27"/>
      <c r="C264" s="33"/>
      <c r="D264" s="27"/>
    </row>
    <row r="265" spans="1:4" x14ac:dyDescent="0.2">
      <c r="A265" s="32"/>
      <c r="B265" s="27"/>
      <c r="C265" s="33"/>
      <c r="D265" s="27"/>
    </row>
    <row r="266" spans="1:4" x14ac:dyDescent="0.2">
      <c r="A266" s="32"/>
      <c r="B266" s="27"/>
      <c r="C266" s="33"/>
      <c r="D266" s="27"/>
    </row>
    <row r="267" spans="1:4" x14ac:dyDescent="0.2">
      <c r="A267" s="32"/>
      <c r="B267" s="27"/>
      <c r="C267" s="33"/>
      <c r="D267" s="27"/>
    </row>
    <row r="268" spans="1:4" x14ac:dyDescent="0.2">
      <c r="A268" s="32"/>
      <c r="B268" s="27"/>
      <c r="C268" s="33"/>
      <c r="D268" s="27"/>
    </row>
    <row r="269" spans="1:4" x14ac:dyDescent="0.2">
      <c r="A269" s="32"/>
      <c r="B269" s="27"/>
      <c r="C269" s="33"/>
      <c r="D269" s="27"/>
    </row>
    <row r="270" spans="1:4" x14ac:dyDescent="0.2">
      <c r="A270" s="32"/>
      <c r="B270" s="27"/>
      <c r="C270" s="33"/>
      <c r="D270" s="27"/>
    </row>
    <row r="271" spans="1:4" x14ac:dyDescent="0.2">
      <c r="A271" s="32"/>
      <c r="B271" s="27"/>
      <c r="C271" s="33"/>
      <c r="D271" s="27"/>
    </row>
    <row r="272" spans="1:4" x14ac:dyDescent="0.2">
      <c r="A272" s="32"/>
      <c r="B272" s="27"/>
      <c r="C272" s="33"/>
      <c r="D272" s="27"/>
    </row>
    <row r="273" spans="1:4" x14ac:dyDescent="0.2">
      <c r="A273" s="32"/>
      <c r="B273" s="27"/>
      <c r="C273" s="33"/>
      <c r="D273" s="27"/>
    </row>
    <row r="274" spans="1:4" x14ac:dyDescent="0.2">
      <c r="A274" s="32"/>
      <c r="B274" s="27"/>
      <c r="C274" s="33"/>
      <c r="D274" s="27"/>
    </row>
    <row r="275" spans="1:4" x14ac:dyDescent="0.2">
      <c r="A275" s="32"/>
      <c r="B275" s="27"/>
      <c r="C275" s="33"/>
      <c r="D275" s="27"/>
    </row>
    <row r="276" spans="1:4" x14ac:dyDescent="0.2">
      <c r="A276" s="32"/>
      <c r="B276" s="27"/>
      <c r="C276" s="33"/>
      <c r="D276" s="27"/>
    </row>
    <row r="277" spans="1:4" x14ac:dyDescent="0.2">
      <c r="A277" s="32"/>
      <c r="B277" s="27"/>
      <c r="C277" s="33"/>
      <c r="D277" s="27"/>
    </row>
    <row r="278" spans="1:4" x14ac:dyDescent="0.2">
      <c r="A278" s="32"/>
      <c r="B278" s="27"/>
      <c r="C278" s="33"/>
      <c r="D278" s="27"/>
    </row>
    <row r="279" spans="1:4" x14ac:dyDescent="0.2">
      <c r="A279" s="32"/>
      <c r="B279" s="27"/>
      <c r="C279" s="33"/>
      <c r="D279" s="27"/>
    </row>
    <row r="280" spans="1:4" x14ac:dyDescent="0.2">
      <c r="A280" s="32"/>
      <c r="B280" s="27"/>
      <c r="C280" s="33"/>
      <c r="D280" s="27"/>
    </row>
    <row r="281" spans="1:4" x14ac:dyDescent="0.2">
      <c r="A281" s="32"/>
      <c r="B281" s="27"/>
      <c r="C281" s="33"/>
      <c r="D281" s="27"/>
    </row>
    <row r="282" spans="1:4" x14ac:dyDescent="0.2">
      <c r="A282" s="32"/>
      <c r="B282" s="27"/>
      <c r="C282" s="33"/>
      <c r="D282" s="27"/>
    </row>
    <row r="283" spans="1:4" x14ac:dyDescent="0.2">
      <c r="A283" s="32"/>
      <c r="B283" s="27"/>
      <c r="C283" s="33"/>
      <c r="D283" s="27"/>
    </row>
    <row r="284" spans="1:4" x14ac:dyDescent="0.2">
      <c r="A284" s="32"/>
      <c r="B284" s="27"/>
      <c r="C284" s="33"/>
      <c r="D284" s="27"/>
    </row>
    <row r="285" spans="1:4" x14ac:dyDescent="0.2">
      <c r="A285" s="32"/>
      <c r="B285" s="27"/>
      <c r="C285" s="33"/>
      <c r="D285" s="27"/>
    </row>
    <row r="286" spans="1:4" x14ac:dyDescent="0.2">
      <c r="A286" s="32"/>
      <c r="B286" s="27"/>
      <c r="C286" s="33"/>
      <c r="D286" s="27"/>
    </row>
    <row r="287" spans="1:4" x14ac:dyDescent="0.2">
      <c r="A287" s="32"/>
      <c r="B287" s="27"/>
      <c r="C287" s="33"/>
      <c r="D287" s="27"/>
    </row>
    <row r="288" spans="1:4" x14ac:dyDescent="0.2">
      <c r="A288" s="32"/>
      <c r="B288" s="27"/>
      <c r="C288" s="33"/>
      <c r="D288" s="27"/>
    </row>
    <row r="289" spans="1:4" x14ac:dyDescent="0.2">
      <c r="A289" s="32"/>
      <c r="B289" s="27"/>
      <c r="C289" s="33"/>
      <c r="D289" s="27"/>
    </row>
    <row r="290" spans="1:4" x14ac:dyDescent="0.2">
      <c r="A290" s="32"/>
      <c r="B290" s="27"/>
      <c r="C290" s="33"/>
      <c r="D290" s="27"/>
    </row>
    <row r="291" spans="1:4" x14ac:dyDescent="0.2">
      <c r="A291" s="32"/>
      <c r="B291" s="27"/>
      <c r="C291" s="33"/>
      <c r="D291" s="27"/>
    </row>
    <row r="292" spans="1:4" x14ac:dyDescent="0.2">
      <c r="A292" s="32"/>
      <c r="B292" s="27"/>
      <c r="C292" s="33"/>
      <c r="D292" s="27"/>
    </row>
    <row r="293" spans="1:4" x14ac:dyDescent="0.2">
      <c r="A293" s="32"/>
      <c r="B293" s="27"/>
      <c r="C293" s="33"/>
      <c r="D293" s="27"/>
    </row>
    <row r="294" spans="1:4" x14ac:dyDescent="0.2">
      <c r="A294" s="32"/>
      <c r="B294" s="27"/>
      <c r="C294" s="33"/>
      <c r="D294" s="27"/>
    </row>
    <row r="295" spans="1:4" x14ac:dyDescent="0.2">
      <c r="A295" s="32"/>
      <c r="B295" s="27"/>
      <c r="C295" s="33"/>
      <c r="D295" s="27"/>
    </row>
    <row r="296" spans="1:4" x14ac:dyDescent="0.2">
      <c r="A296" s="32"/>
      <c r="B296" s="27"/>
      <c r="C296" s="33"/>
      <c r="D296" s="27"/>
    </row>
    <row r="297" spans="1:4" x14ac:dyDescent="0.2">
      <c r="A297" s="32"/>
      <c r="B297" s="27"/>
      <c r="C297" s="33"/>
      <c r="D297" s="27"/>
    </row>
    <row r="298" spans="1:4" x14ac:dyDescent="0.2">
      <c r="A298" s="32"/>
      <c r="B298" s="27"/>
      <c r="C298" s="33"/>
      <c r="D298" s="27"/>
    </row>
    <row r="299" spans="1:4" x14ac:dyDescent="0.2">
      <c r="A299" s="32"/>
      <c r="B299" s="27"/>
      <c r="C299" s="33"/>
      <c r="D299" s="27"/>
    </row>
    <row r="300" spans="1:4" x14ac:dyDescent="0.2">
      <c r="A300" s="32"/>
      <c r="B300" s="27"/>
      <c r="C300" s="33"/>
      <c r="D300" s="27"/>
    </row>
    <row r="301" spans="1:4" x14ac:dyDescent="0.2">
      <c r="A301" s="32"/>
      <c r="B301" s="27"/>
      <c r="C301" s="33"/>
      <c r="D301" s="27"/>
    </row>
    <row r="302" spans="1:4" x14ac:dyDescent="0.2">
      <c r="A302" s="32"/>
      <c r="B302" s="27"/>
      <c r="C302" s="33"/>
      <c r="D302" s="27"/>
    </row>
    <row r="303" spans="1:4" x14ac:dyDescent="0.2">
      <c r="A303" s="32"/>
      <c r="B303" s="27"/>
      <c r="C303" s="33"/>
      <c r="D303" s="27"/>
    </row>
    <row r="304" spans="1:4" x14ac:dyDescent="0.2">
      <c r="A304" s="32"/>
      <c r="B304" s="27"/>
      <c r="C304" s="33"/>
      <c r="D304" s="27"/>
    </row>
    <row r="305" spans="1:4" x14ac:dyDescent="0.2">
      <c r="A305" s="32"/>
      <c r="B305" s="27"/>
      <c r="C305" s="33"/>
      <c r="D305" s="27"/>
    </row>
    <row r="306" spans="1:4" x14ac:dyDescent="0.2">
      <c r="A306" s="32"/>
      <c r="B306" s="27"/>
      <c r="C306" s="33"/>
      <c r="D306" s="27"/>
    </row>
    <row r="307" spans="1:4" x14ac:dyDescent="0.2">
      <c r="A307" s="32"/>
      <c r="B307" s="27"/>
      <c r="C307" s="33"/>
      <c r="D307" s="27"/>
    </row>
    <row r="308" spans="1:4" x14ac:dyDescent="0.2">
      <c r="A308" s="32"/>
      <c r="B308" s="27"/>
      <c r="C308" s="33"/>
      <c r="D308" s="27"/>
    </row>
    <row r="309" spans="1:4" x14ac:dyDescent="0.2">
      <c r="A309" s="32"/>
      <c r="B309" s="27"/>
      <c r="C309" s="33"/>
      <c r="D309" s="27"/>
    </row>
    <row r="310" spans="1:4" x14ac:dyDescent="0.2">
      <c r="A310" s="32"/>
      <c r="B310" s="27"/>
      <c r="C310" s="33"/>
      <c r="D310" s="27"/>
    </row>
    <row r="311" spans="1:4" x14ac:dyDescent="0.2">
      <c r="A311" s="32"/>
      <c r="B311" s="27"/>
      <c r="C311" s="33"/>
      <c r="D311" s="27"/>
    </row>
    <row r="312" spans="1:4" x14ac:dyDescent="0.2">
      <c r="A312" s="32"/>
      <c r="B312" s="27"/>
      <c r="C312" s="33"/>
      <c r="D312" s="27"/>
    </row>
    <row r="313" spans="1:4" x14ac:dyDescent="0.2">
      <c r="A313" s="32"/>
      <c r="B313" s="27"/>
      <c r="C313" s="33"/>
      <c r="D313" s="27"/>
    </row>
    <row r="314" spans="1:4" x14ac:dyDescent="0.2">
      <c r="A314" s="32"/>
      <c r="B314" s="27"/>
      <c r="C314" s="33"/>
      <c r="D314" s="27"/>
    </row>
    <row r="315" spans="1:4" x14ac:dyDescent="0.2">
      <c r="A315" s="32"/>
      <c r="B315" s="27"/>
      <c r="C315" s="33"/>
      <c r="D315" s="27"/>
    </row>
    <row r="316" spans="1:4" x14ac:dyDescent="0.2">
      <c r="A316" s="32"/>
      <c r="B316" s="27"/>
      <c r="C316" s="33"/>
      <c r="D316" s="27"/>
    </row>
    <row r="317" spans="1:4" x14ac:dyDescent="0.2">
      <c r="A317" s="32"/>
      <c r="B317" s="27"/>
      <c r="C317" s="33"/>
      <c r="D317" s="27"/>
    </row>
    <row r="318" spans="1:4" x14ac:dyDescent="0.2">
      <c r="A318" s="32"/>
      <c r="B318" s="27"/>
      <c r="C318" s="33"/>
      <c r="D318" s="27"/>
    </row>
    <row r="319" spans="1:4" x14ac:dyDescent="0.2">
      <c r="A319" s="32"/>
      <c r="B319" s="27"/>
      <c r="C319" s="33"/>
      <c r="D319" s="27"/>
    </row>
    <row r="320" spans="1:4" x14ac:dyDescent="0.2">
      <c r="A320" s="32"/>
      <c r="B320" s="27"/>
      <c r="C320" s="33"/>
      <c r="D320" s="27"/>
    </row>
    <row r="321" spans="1:4" x14ac:dyDescent="0.2">
      <c r="A321" s="32"/>
      <c r="B321" s="27"/>
      <c r="C321" s="33"/>
      <c r="D321" s="27"/>
    </row>
    <row r="322" spans="1:4" x14ac:dyDescent="0.2">
      <c r="A322" s="32"/>
      <c r="B322" s="27"/>
      <c r="C322" s="33"/>
      <c r="D322" s="27"/>
    </row>
    <row r="323" spans="1:4" x14ac:dyDescent="0.2">
      <c r="A323" s="32"/>
      <c r="B323" s="27"/>
      <c r="C323" s="33"/>
      <c r="D323" s="27"/>
    </row>
    <row r="324" spans="1:4" x14ac:dyDescent="0.2">
      <c r="A324" s="32"/>
      <c r="B324" s="27"/>
      <c r="C324" s="33"/>
      <c r="D324" s="27"/>
    </row>
    <row r="325" spans="1:4" x14ac:dyDescent="0.2">
      <c r="A325" s="32"/>
      <c r="B325" s="27"/>
      <c r="C325" s="33"/>
      <c r="D325" s="27"/>
    </row>
    <row r="326" spans="1:4" x14ac:dyDescent="0.2">
      <c r="A326" s="32"/>
      <c r="B326" s="27"/>
      <c r="C326" s="33"/>
      <c r="D326" s="27"/>
    </row>
    <row r="327" spans="1:4" x14ac:dyDescent="0.2">
      <c r="A327" s="32"/>
      <c r="B327" s="27"/>
      <c r="C327" s="33"/>
      <c r="D327" s="27"/>
    </row>
    <row r="328" spans="1:4" x14ac:dyDescent="0.2">
      <c r="A328" s="32"/>
      <c r="B328" s="27"/>
      <c r="C328" s="33"/>
      <c r="D328" s="27"/>
    </row>
    <row r="329" spans="1:4" x14ac:dyDescent="0.2">
      <c r="A329" s="32"/>
      <c r="B329" s="27"/>
      <c r="C329" s="33"/>
      <c r="D329" s="27"/>
    </row>
    <row r="330" spans="1:4" x14ac:dyDescent="0.2">
      <c r="A330" s="32"/>
      <c r="B330" s="27"/>
      <c r="C330" s="33"/>
      <c r="D330" s="27"/>
    </row>
    <row r="331" spans="1:4" x14ac:dyDescent="0.2">
      <c r="A331" s="32"/>
      <c r="B331" s="27"/>
      <c r="C331" s="33"/>
      <c r="D331" s="27"/>
    </row>
    <row r="332" spans="1:4" x14ac:dyDescent="0.2">
      <c r="A332" s="32"/>
      <c r="B332" s="27"/>
      <c r="C332" s="33"/>
      <c r="D332" s="27"/>
    </row>
    <row r="333" spans="1:4" x14ac:dyDescent="0.2">
      <c r="A333" s="32"/>
      <c r="B333" s="27"/>
      <c r="C333" s="33"/>
      <c r="D333" s="27"/>
    </row>
    <row r="334" spans="1:4" x14ac:dyDescent="0.2">
      <c r="A334" s="32"/>
      <c r="B334" s="27"/>
      <c r="C334" s="33"/>
      <c r="D334" s="27"/>
    </row>
    <row r="335" spans="1:4" x14ac:dyDescent="0.2">
      <c r="A335" s="32"/>
      <c r="B335" s="27"/>
      <c r="C335" s="33"/>
      <c r="D335" s="27"/>
    </row>
    <row r="336" spans="1:4" x14ac:dyDescent="0.2">
      <c r="A336" s="32"/>
      <c r="B336" s="27"/>
      <c r="C336" s="33"/>
      <c r="D336" s="27"/>
    </row>
    <row r="337" spans="1:4" x14ac:dyDescent="0.2">
      <c r="A337" s="32"/>
      <c r="B337" s="27"/>
      <c r="C337" s="33"/>
      <c r="D337" s="27"/>
    </row>
    <row r="338" spans="1:4" x14ac:dyDescent="0.2">
      <c r="A338" s="32"/>
      <c r="B338" s="27"/>
      <c r="C338" s="33"/>
      <c r="D338" s="27"/>
    </row>
    <row r="339" spans="1:4" x14ac:dyDescent="0.2">
      <c r="A339" s="32"/>
      <c r="B339" s="27"/>
      <c r="C339" s="33"/>
      <c r="D339" s="27"/>
    </row>
    <row r="340" spans="1:4" x14ac:dyDescent="0.2">
      <c r="A340" s="32"/>
      <c r="B340" s="27"/>
      <c r="C340" s="33"/>
      <c r="D340" s="27"/>
    </row>
    <row r="341" spans="1:4" x14ac:dyDescent="0.2">
      <c r="A341" s="32"/>
      <c r="B341" s="27"/>
      <c r="C341" s="33"/>
      <c r="D341" s="27"/>
    </row>
    <row r="342" spans="1:4" x14ac:dyDescent="0.2">
      <c r="A342" s="32"/>
      <c r="B342" s="27"/>
      <c r="C342" s="33"/>
      <c r="D342" s="27"/>
    </row>
    <row r="343" spans="1:4" x14ac:dyDescent="0.2">
      <c r="A343" s="32"/>
      <c r="B343" s="27"/>
      <c r="C343" s="33"/>
      <c r="D343" s="27"/>
    </row>
    <row r="344" spans="1:4" x14ac:dyDescent="0.2">
      <c r="A344" s="32"/>
      <c r="B344" s="27"/>
      <c r="C344" s="33"/>
      <c r="D344" s="27"/>
    </row>
    <row r="345" spans="1:4" x14ac:dyDescent="0.2">
      <c r="A345" s="32"/>
      <c r="B345" s="27"/>
      <c r="C345" s="33"/>
      <c r="D345" s="27"/>
    </row>
    <row r="346" spans="1:4" x14ac:dyDescent="0.2">
      <c r="A346" s="32"/>
      <c r="B346" s="27"/>
      <c r="C346" s="33"/>
      <c r="D346" s="27"/>
    </row>
    <row r="347" spans="1:4" x14ac:dyDescent="0.2">
      <c r="A347" s="32"/>
      <c r="B347" s="27"/>
      <c r="C347" s="33"/>
      <c r="D347" s="27"/>
    </row>
    <row r="348" spans="1:4" x14ac:dyDescent="0.2">
      <c r="A348" s="32"/>
      <c r="B348" s="27"/>
      <c r="C348" s="33"/>
      <c r="D348" s="27"/>
    </row>
    <row r="349" spans="1:4" x14ac:dyDescent="0.2">
      <c r="A349" s="32"/>
      <c r="B349" s="27"/>
      <c r="C349" s="33"/>
      <c r="D349" s="27"/>
    </row>
    <row r="350" spans="1:4" x14ac:dyDescent="0.2">
      <c r="A350" s="32"/>
      <c r="B350" s="27"/>
      <c r="C350" s="33"/>
      <c r="D350" s="27"/>
    </row>
    <row r="351" spans="1:4" x14ac:dyDescent="0.2">
      <c r="A351" s="32"/>
      <c r="B351" s="27"/>
      <c r="C351" s="33"/>
      <c r="D351" s="27"/>
    </row>
    <row r="352" spans="1:4" x14ac:dyDescent="0.2">
      <c r="A352" s="32"/>
      <c r="B352" s="27"/>
      <c r="C352" s="33"/>
      <c r="D352" s="27"/>
    </row>
    <row r="353" spans="1:4" x14ac:dyDescent="0.2">
      <c r="A353" s="32"/>
      <c r="B353" s="27"/>
      <c r="C353" s="33"/>
      <c r="D353" s="27"/>
    </row>
    <row r="354" spans="1:4" x14ac:dyDescent="0.2">
      <c r="A354" s="32"/>
      <c r="B354" s="27"/>
      <c r="C354" s="33"/>
      <c r="D354" s="27"/>
    </row>
    <row r="355" spans="1:4" x14ac:dyDescent="0.2">
      <c r="A355" s="32"/>
      <c r="B355" s="27"/>
      <c r="C355" s="33"/>
      <c r="D355" s="27"/>
    </row>
    <row r="356" spans="1:4" x14ac:dyDescent="0.2">
      <c r="A356" s="32"/>
      <c r="B356" s="27"/>
      <c r="C356" s="33"/>
      <c r="D356" s="27"/>
    </row>
    <row r="357" spans="1:4" x14ac:dyDescent="0.2">
      <c r="A357" s="32"/>
      <c r="B357" s="27"/>
      <c r="C357" s="33"/>
      <c r="D357" s="27"/>
    </row>
    <row r="358" spans="1:4" x14ac:dyDescent="0.2">
      <c r="A358" s="32"/>
      <c r="B358" s="27"/>
      <c r="C358" s="33"/>
      <c r="D358" s="27"/>
    </row>
    <row r="359" spans="1:4" x14ac:dyDescent="0.2">
      <c r="A359" s="32"/>
      <c r="B359" s="27"/>
      <c r="C359" s="33"/>
      <c r="D359" s="27"/>
    </row>
    <row r="360" spans="1:4" x14ac:dyDescent="0.2">
      <c r="A360" s="32"/>
      <c r="B360" s="27"/>
      <c r="C360" s="33"/>
      <c r="D360" s="27"/>
    </row>
    <row r="361" spans="1:4" x14ac:dyDescent="0.2">
      <c r="A361" s="32"/>
      <c r="B361" s="27"/>
      <c r="C361" s="33"/>
      <c r="D361" s="27"/>
    </row>
    <row r="362" spans="1:4" x14ac:dyDescent="0.2">
      <c r="A362" s="32"/>
      <c r="B362" s="27"/>
      <c r="C362" s="33"/>
      <c r="D362" s="27"/>
    </row>
    <row r="363" spans="1:4" x14ac:dyDescent="0.2">
      <c r="A363" s="32"/>
      <c r="B363" s="27"/>
      <c r="C363" s="33"/>
      <c r="D363" s="27"/>
    </row>
    <row r="364" spans="1:4" x14ac:dyDescent="0.2">
      <c r="A364" s="32"/>
      <c r="B364" s="27"/>
      <c r="C364" s="33"/>
      <c r="D364" s="27"/>
    </row>
    <row r="365" spans="1:4" x14ac:dyDescent="0.2">
      <c r="A365" s="32"/>
      <c r="B365" s="27"/>
      <c r="C365" s="33"/>
      <c r="D365" s="27"/>
    </row>
    <row r="366" spans="1:4" x14ac:dyDescent="0.2">
      <c r="A366" s="32"/>
      <c r="B366" s="27"/>
      <c r="C366" s="33"/>
      <c r="D366" s="27"/>
    </row>
    <row r="367" spans="1:4" x14ac:dyDescent="0.2">
      <c r="A367" s="32"/>
      <c r="B367" s="27"/>
      <c r="C367" s="33"/>
      <c r="D367" s="27"/>
    </row>
    <row r="368" spans="1:4" x14ac:dyDescent="0.2">
      <c r="A368" s="32"/>
      <c r="B368" s="27"/>
      <c r="C368" s="33"/>
      <c r="D368" s="27"/>
    </row>
    <row r="369" spans="1:4" x14ac:dyDescent="0.2">
      <c r="A369" s="32"/>
      <c r="B369" s="27"/>
      <c r="C369" s="33"/>
      <c r="D369" s="27"/>
    </row>
    <row r="370" spans="1:4" x14ac:dyDescent="0.2">
      <c r="A370" s="32"/>
      <c r="B370" s="27"/>
      <c r="C370" s="33"/>
      <c r="D370" s="27"/>
    </row>
    <row r="371" spans="1:4" x14ac:dyDescent="0.2">
      <c r="A371" s="32"/>
      <c r="B371" s="27"/>
      <c r="C371" s="33"/>
      <c r="D371" s="27"/>
    </row>
    <row r="372" spans="1:4" x14ac:dyDescent="0.2">
      <c r="A372" s="32"/>
      <c r="B372" s="27"/>
      <c r="C372" s="33"/>
      <c r="D372" s="27"/>
    </row>
    <row r="373" spans="1:4" x14ac:dyDescent="0.2">
      <c r="A373" s="32"/>
      <c r="B373" s="27"/>
      <c r="C373" s="33"/>
      <c r="D373" s="27"/>
    </row>
    <row r="374" spans="1:4" x14ac:dyDescent="0.2">
      <c r="A374" s="32"/>
      <c r="B374" s="27"/>
      <c r="C374" s="33"/>
      <c r="D374" s="27"/>
    </row>
    <row r="375" spans="1:4" x14ac:dyDescent="0.2">
      <c r="A375" s="32"/>
      <c r="B375" s="27"/>
      <c r="C375" s="33"/>
      <c r="D375" s="27"/>
    </row>
    <row r="376" spans="1:4" x14ac:dyDescent="0.2">
      <c r="A376" s="32"/>
      <c r="B376" s="27"/>
      <c r="C376" s="33"/>
      <c r="D376" s="27"/>
    </row>
    <row r="377" spans="1:4" x14ac:dyDescent="0.2">
      <c r="A377" s="32"/>
      <c r="B377" s="27"/>
      <c r="C377" s="33"/>
      <c r="D377" s="27"/>
    </row>
    <row r="378" spans="1:4" x14ac:dyDescent="0.2">
      <c r="A378" s="32"/>
      <c r="B378" s="27"/>
      <c r="C378" s="33"/>
      <c r="D378" s="27"/>
    </row>
    <row r="379" spans="1:4" x14ac:dyDescent="0.2">
      <c r="A379" s="32"/>
      <c r="B379" s="27"/>
      <c r="C379" s="33"/>
      <c r="D379" s="27"/>
    </row>
    <row r="380" spans="1:4" x14ac:dyDescent="0.2">
      <c r="A380" s="32"/>
      <c r="B380" s="27"/>
      <c r="C380" s="33"/>
      <c r="D380" s="27"/>
    </row>
    <row r="381" spans="1:4" x14ac:dyDescent="0.2">
      <c r="A381" s="32"/>
      <c r="B381" s="27"/>
      <c r="C381" s="33"/>
      <c r="D381" s="27"/>
    </row>
    <row r="382" spans="1:4" x14ac:dyDescent="0.2">
      <c r="A382" s="32"/>
      <c r="B382" s="27"/>
      <c r="C382" s="33"/>
      <c r="D382" s="27"/>
    </row>
    <row r="383" spans="1:4" x14ac:dyDescent="0.2">
      <c r="A383" s="32"/>
      <c r="B383" s="27"/>
      <c r="C383" s="33"/>
      <c r="D383" s="27"/>
    </row>
    <row r="384" spans="1:4" x14ac:dyDescent="0.2">
      <c r="A384" s="32"/>
      <c r="B384" s="27"/>
      <c r="C384" s="33"/>
      <c r="D384" s="27"/>
    </row>
    <row r="385" spans="1:4" x14ac:dyDescent="0.2">
      <c r="A385" s="32"/>
      <c r="B385" s="27"/>
      <c r="C385" s="33"/>
      <c r="D385" s="27"/>
    </row>
    <row r="386" spans="1:4" x14ac:dyDescent="0.2">
      <c r="A386" s="32"/>
      <c r="B386" s="27"/>
      <c r="C386" s="33"/>
      <c r="D386" s="27"/>
    </row>
    <row r="387" spans="1:4" x14ac:dyDescent="0.2">
      <c r="A387" s="32"/>
      <c r="B387" s="27"/>
      <c r="C387" s="33"/>
      <c r="D387" s="27"/>
    </row>
    <row r="388" spans="1:4" x14ac:dyDescent="0.2">
      <c r="A388" s="32"/>
      <c r="B388" s="27"/>
      <c r="C388" s="33"/>
      <c r="D388" s="27"/>
    </row>
    <row r="389" spans="1:4" x14ac:dyDescent="0.2">
      <c r="A389" s="32"/>
      <c r="B389" s="27"/>
      <c r="C389" s="33"/>
      <c r="D389" s="27"/>
    </row>
    <row r="390" spans="1:4" x14ac:dyDescent="0.2">
      <c r="A390" s="32"/>
      <c r="B390" s="27"/>
      <c r="C390" s="33"/>
      <c r="D390" s="27"/>
    </row>
    <row r="391" spans="1:4" x14ac:dyDescent="0.2">
      <c r="A391" s="32"/>
      <c r="B391" s="27"/>
      <c r="C391" s="33"/>
      <c r="D391" s="27"/>
    </row>
    <row r="392" spans="1:4" x14ac:dyDescent="0.2">
      <c r="A392" s="32"/>
      <c r="B392" s="27"/>
      <c r="C392" s="33"/>
      <c r="D392" s="27"/>
    </row>
    <row r="393" spans="1:4" x14ac:dyDescent="0.2">
      <c r="A393" s="32"/>
      <c r="B393" s="27"/>
      <c r="C393" s="33"/>
      <c r="D393" s="27"/>
    </row>
    <row r="394" spans="1:4" x14ac:dyDescent="0.2">
      <c r="A394" s="32"/>
      <c r="B394" s="27"/>
      <c r="C394" s="33"/>
      <c r="D394" s="27"/>
    </row>
    <row r="395" spans="1:4" x14ac:dyDescent="0.2">
      <c r="A395" s="32"/>
      <c r="B395" s="27"/>
      <c r="C395" s="33"/>
      <c r="D395" s="27"/>
    </row>
    <row r="396" spans="1:4" x14ac:dyDescent="0.2">
      <c r="A396" s="32"/>
      <c r="B396" s="27"/>
      <c r="C396" s="33"/>
      <c r="D396" s="27"/>
    </row>
    <row r="397" spans="1:4" x14ac:dyDescent="0.2">
      <c r="A397" s="32"/>
      <c r="B397" s="27"/>
      <c r="C397" s="33"/>
      <c r="D397" s="27"/>
    </row>
    <row r="398" spans="1:4" x14ac:dyDescent="0.2">
      <c r="A398" s="32"/>
      <c r="B398" s="27"/>
      <c r="C398" s="33"/>
      <c r="D398" s="27"/>
    </row>
    <row r="399" spans="1:4" x14ac:dyDescent="0.2">
      <c r="A399" s="32"/>
      <c r="B399" s="27"/>
      <c r="C399" s="33"/>
      <c r="D399" s="27"/>
    </row>
    <row r="400" spans="1:4" x14ac:dyDescent="0.2">
      <c r="A400" s="32"/>
      <c r="B400" s="27"/>
      <c r="C400" s="33"/>
      <c r="D400" s="27"/>
    </row>
    <row r="401" spans="1:4" x14ac:dyDescent="0.2">
      <c r="A401" s="32"/>
      <c r="B401" s="27"/>
      <c r="C401" s="33"/>
      <c r="D401" s="27"/>
    </row>
    <row r="402" spans="1:4" x14ac:dyDescent="0.2">
      <c r="A402" s="32"/>
      <c r="B402" s="27"/>
      <c r="C402" s="33"/>
      <c r="D402" s="27"/>
    </row>
    <row r="403" spans="1:4" x14ac:dyDescent="0.2">
      <c r="A403" s="32"/>
      <c r="B403" s="27"/>
      <c r="C403" s="33"/>
      <c r="D403" s="27"/>
    </row>
    <row r="404" spans="1:4" x14ac:dyDescent="0.2">
      <c r="A404" s="32"/>
      <c r="B404" s="27"/>
      <c r="C404" s="33"/>
      <c r="D404" s="27"/>
    </row>
    <row r="405" spans="1:4" x14ac:dyDescent="0.2">
      <c r="A405" s="32"/>
      <c r="B405" s="27"/>
      <c r="C405" s="33"/>
      <c r="D405" s="27"/>
    </row>
    <row r="406" spans="1:4" x14ac:dyDescent="0.2">
      <c r="A406" s="32"/>
      <c r="B406" s="27"/>
      <c r="C406" s="33"/>
      <c r="D406" s="27"/>
    </row>
    <row r="407" spans="1:4" x14ac:dyDescent="0.2">
      <c r="A407" s="32"/>
      <c r="B407" s="27"/>
      <c r="C407" s="33"/>
      <c r="D407" s="27"/>
    </row>
    <row r="408" spans="1:4" x14ac:dyDescent="0.2">
      <c r="A408" s="32"/>
      <c r="B408" s="27"/>
      <c r="C408" s="33"/>
      <c r="D408" s="27"/>
    </row>
    <row r="409" spans="1:4" x14ac:dyDescent="0.2">
      <c r="A409" s="32"/>
      <c r="B409" s="27"/>
      <c r="C409" s="33"/>
      <c r="D409" s="27"/>
    </row>
    <row r="410" spans="1:4" x14ac:dyDescent="0.2">
      <c r="A410" s="32"/>
      <c r="B410" s="27"/>
      <c r="C410" s="33"/>
      <c r="D410" s="27"/>
    </row>
    <row r="411" spans="1:4" x14ac:dyDescent="0.2">
      <c r="A411" s="32"/>
      <c r="B411" s="27"/>
      <c r="C411" s="33"/>
      <c r="D411" s="27"/>
    </row>
    <row r="412" spans="1:4" x14ac:dyDescent="0.2">
      <c r="A412" s="32"/>
      <c r="B412" s="27"/>
      <c r="C412" s="33"/>
      <c r="D412" s="27"/>
    </row>
    <row r="413" spans="1:4" x14ac:dyDescent="0.2">
      <c r="A413" s="32"/>
      <c r="B413" s="27"/>
      <c r="C413" s="33"/>
      <c r="D413" s="27"/>
    </row>
    <row r="414" spans="1:4" x14ac:dyDescent="0.2">
      <c r="A414" s="32"/>
      <c r="B414" s="27"/>
      <c r="C414" s="33"/>
      <c r="D414" s="27"/>
    </row>
    <row r="415" spans="1:4" x14ac:dyDescent="0.2">
      <c r="A415" s="32"/>
      <c r="B415" s="27"/>
      <c r="C415" s="33"/>
      <c r="D415" s="27"/>
    </row>
    <row r="416" spans="1:4" x14ac:dyDescent="0.2">
      <c r="A416" s="32"/>
      <c r="B416" s="27"/>
      <c r="C416" s="33"/>
      <c r="D416" s="27"/>
    </row>
    <row r="417" spans="1:4" x14ac:dyDescent="0.2">
      <c r="A417" s="32"/>
      <c r="B417" s="27"/>
      <c r="C417" s="33"/>
      <c r="D417" s="27"/>
    </row>
    <row r="418" spans="1:4" x14ac:dyDescent="0.2">
      <c r="A418" s="32"/>
      <c r="B418" s="27"/>
      <c r="C418" s="33"/>
      <c r="D418" s="27"/>
    </row>
    <row r="419" spans="1:4" x14ac:dyDescent="0.2">
      <c r="A419" s="32"/>
      <c r="B419" s="27"/>
      <c r="C419" s="33"/>
      <c r="D419" s="27"/>
    </row>
    <row r="420" spans="1:4" x14ac:dyDescent="0.2">
      <c r="A420" s="32"/>
      <c r="B420" s="27"/>
      <c r="C420" s="33"/>
      <c r="D420" s="27"/>
    </row>
    <row r="421" spans="1:4" x14ac:dyDescent="0.2">
      <c r="A421" s="32"/>
      <c r="B421" s="27"/>
      <c r="C421" s="33"/>
      <c r="D421" s="27"/>
    </row>
    <row r="422" spans="1:4" x14ac:dyDescent="0.2">
      <c r="A422" s="32"/>
      <c r="B422" s="27"/>
      <c r="C422" s="33"/>
      <c r="D422" s="27"/>
    </row>
    <row r="423" spans="1:4" x14ac:dyDescent="0.2">
      <c r="A423" s="32"/>
      <c r="B423" s="27"/>
      <c r="C423" s="33"/>
      <c r="D423" s="27"/>
    </row>
    <row r="424" spans="1:4" x14ac:dyDescent="0.2">
      <c r="A424" s="32"/>
      <c r="B424" s="27"/>
      <c r="C424" s="33"/>
      <c r="D424" s="27"/>
    </row>
    <row r="425" spans="1:4" x14ac:dyDescent="0.2">
      <c r="A425" s="32"/>
      <c r="B425" s="27"/>
      <c r="C425" s="33"/>
      <c r="D425" s="27"/>
    </row>
    <row r="426" spans="1:4" x14ac:dyDescent="0.2">
      <c r="A426" s="32"/>
      <c r="B426" s="27"/>
      <c r="C426" s="33"/>
      <c r="D426" s="27"/>
    </row>
    <row r="427" spans="1:4" x14ac:dyDescent="0.2">
      <c r="A427" s="32"/>
      <c r="B427" s="27"/>
      <c r="C427" s="33"/>
      <c r="D427" s="27"/>
    </row>
    <row r="428" spans="1:4" x14ac:dyDescent="0.2">
      <c r="A428" s="32"/>
      <c r="B428" s="27"/>
      <c r="C428" s="33"/>
      <c r="D428" s="27"/>
    </row>
    <row r="429" spans="1:4" x14ac:dyDescent="0.2">
      <c r="A429" s="32"/>
      <c r="B429" s="27"/>
      <c r="C429" s="33"/>
      <c r="D429" s="27"/>
    </row>
    <row r="430" spans="1:4" x14ac:dyDescent="0.2">
      <c r="A430" s="32"/>
      <c r="B430" s="27"/>
      <c r="C430" s="33"/>
      <c r="D430" s="27"/>
    </row>
    <row r="431" spans="1:4" x14ac:dyDescent="0.2">
      <c r="A431" s="32"/>
      <c r="B431" s="27"/>
      <c r="C431" s="33"/>
      <c r="D431" s="27"/>
    </row>
    <row r="432" spans="1:4" x14ac:dyDescent="0.2">
      <c r="A432" s="32"/>
      <c r="B432" s="27"/>
      <c r="C432" s="33"/>
      <c r="D432" s="27"/>
    </row>
    <row r="433" spans="1:4" x14ac:dyDescent="0.2">
      <c r="A433" s="32"/>
      <c r="B433" s="27"/>
      <c r="C433" s="33"/>
      <c r="D433" s="27"/>
    </row>
    <row r="434" spans="1:4" x14ac:dyDescent="0.2">
      <c r="A434" s="32"/>
      <c r="B434" s="27"/>
      <c r="C434" s="33"/>
      <c r="D434" s="27"/>
    </row>
    <row r="435" spans="1:4" x14ac:dyDescent="0.2">
      <c r="A435" s="32"/>
      <c r="B435" s="27"/>
      <c r="C435" s="33"/>
      <c r="D435" s="27"/>
    </row>
    <row r="436" spans="1:4" x14ac:dyDescent="0.2">
      <c r="A436" s="32"/>
      <c r="B436" s="27"/>
      <c r="C436" s="33"/>
      <c r="D436" s="27"/>
    </row>
    <row r="437" spans="1:4" x14ac:dyDescent="0.2">
      <c r="A437" s="32"/>
      <c r="B437" s="27"/>
      <c r="C437" s="33"/>
      <c r="D437" s="27"/>
    </row>
    <row r="438" spans="1:4" x14ac:dyDescent="0.2">
      <c r="A438" s="32"/>
      <c r="B438" s="27"/>
      <c r="C438" s="33"/>
      <c r="D438" s="27"/>
    </row>
    <row r="439" spans="1:4" x14ac:dyDescent="0.2">
      <c r="A439" s="32"/>
      <c r="B439" s="27"/>
      <c r="C439" s="33"/>
      <c r="D439" s="27"/>
    </row>
    <row r="440" spans="1:4" x14ac:dyDescent="0.2">
      <c r="A440" s="32"/>
      <c r="B440" s="27"/>
      <c r="C440" s="33"/>
      <c r="D440" s="27"/>
    </row>
    <row r="441" spans="1:4" x14ac:dyDescent="0.2">
      <c r="A441" s="32"/>
      <c r="B441" s="27"/>
      <c r="C441" s="33"/>
      <c r="D441" s="27"/>
    </row>
    <row r="442" spans="1:4" x14ac:dyDescent="0.2">
      <c r="A442" s="32"/>
      <c r="B442" s="27"/>
      <c r="C442" s="33"/>
      <c r="D442" s="27"/>
    </row>
    <row r="443" spans="1:4" x14ac:dyDescent="0.2">
      <c r="A443" s="32"/>
      <c r="B443" s="27"/>
      <c r="C443" s="33"/>
      <c r="D443" s="27"/>
    </row>
    <row r="444" spans="1:4" x14ac:dyDescent="0.2">
      <c r="A444" s="32"/>
      <c r="B444" s="27"/>
      <c r="C444" s="33"/>
      <c r="D444" s="27"/>
    </row>
    <row r="445" spans="1:4" x14ac:dyDescent="0.2">
      <c r="A445" s="32"/>
      <c r="B445" s="27"/>
      <c r="C445" s="33"/>
      <c r="D445" s="27"/>
    </row>
    <row r="446" spans="1:4" x14ac:dyDescent="0.2">
      <c r="A446" s="32"/>
      <c r="B446" s="27"/>
      <c r="C446" s="33"/>
      <c r="D446" s="27"/>
    </row>
    <row r="447" spans="1:4" x14ac:dyDescent="0.2">
      <c r="A447" s="32"/>
      <c r="B447" s="27"/>
      <c r="C447" s="33"/>
      <c r="D447" s="27"/>
    </row>
    <row r="448" spans="1:4" x14ac:dyDescent="0.2">
      <c r="A448" s="32"/>
      <c r="B448" s="27"/>
      <c r="C448" s="33"/>
      <c r="D448" s="27"/>
    </row>
    <row r="449" spans="1:4" x14ac:dyDescent="0.2">
      <c r="A449" s="32"/>
      <c r="B449" s="27"/>
      <c r="C449" s="33"/>
      <c r="D449" s="27"/>
    </row>
    <row r="450" spans="1:4" x14ac:dyDescent="0.2">
      <c r="A450" s="32"/>
      <c r="B450" s="27"/>
      <c r="C450" s="33"/>
      <c r="D450" s="27"/>
    </row>
    <row r="451" spans="1:4" x14ac:dyDescent="0.2">
      <c r="A451" s="32"/>
      <c r="B451" s="27"/>
      <c r="C451" s="33"/>
      <c r="D451" s="27"/>
    </row>
    <row r="452" spans="1:4" x14ac:dyDescent="0.2">
      <c r="A452" s="32"/>
      <c r="B452" s="27"/>
      <c r="C452" s="33"/>
      <c r="D452" s="27"/>
    </row>
    <row r="453" spans="1:4" x14ac:dyDescent="0.2">
      <c r="A453" s="32"/>
      <c r="B453" s="27"/>
      <c r="C453" s="33"/>
      <c r="D453" s="27"/>
    </row>
    <row r="454" spans="1:4" x14ac:dyDescent="0.2">
      <c r="A454" s="32"/>
      <c r="B454" s="27"/>
      <c r="C454" s="33"/>
      <c r="D454" s="27"/>
    </row>
    <row r="455" spans="1:4" x14ac:dyDescent="0.2">
      <c r="A455" s="32"/>
      <c r="B455" s="27"/>
      <c r="C455" s="33"/>
      <c r="D455" s="27"/>
    </row>
    <row r="456" spans="1:4" x14ac:dyDescent="0.2">
      <c r="A456" s="32"/>
      <c r="B456" s="27"/>
      <c r="C456" s="33"/>
      <c r="D456" s="27"/>
    </row>
    <row r="457" spans="1:4" x14ac:dyDescent="0.2">
      <c r="A457" s="32"/>
      <c r="B457" s="27"/>
      <c r="C457" s="33"/>
      <c r="D457" s="27"/>
    </row>
    <row r="458" spans="1:4" x14ac:dyDescent="0.2">
      <c r="A458" s="32"/>
      <c r="B458" s="27"/>
      <c r="C458" s="33"/>
      <c r="D458" s="27"/>
    </row>
    <row r="459" spans="1:4" x14ac:dyDescent="0.2">
      <c r="A459" s="32"/>
      <c r="B459" s="27"/>
      <c r="C459" s="33"/>
      <c r="D459" s="27"/>
    </row>
    <row r="460" spans="1:4" x14ac:dyDescent="0.2">
      <c r="A460" s="32"/>
      <c r="B460" s="27"/>
      <c r="C460" s="33"/>
      <c r="D460" s="27"/>
    </row>
    <row r="461" spans="1:4" x14ac:dyDescent="0.2">
      <c r="A461" s="32"/>
      <c r="B461" s="27"/>
      <c r="C461" s="33"/>
      <c r="D461" s="27"/>
    </row>
    <row r="462" spans="1:4" x14ac:dyDescent="0.2">
      <c r="A462" s="32"/>
      <c r="B462" s="27"/>
      <c r="C462" s="33"/>
      <c r="D462" s="27"/>
    </row>
    <row r="463" spans="1:4" x14ac:dyDescent="0.2">
      <c r="A463" s="32"/>
      <c r="B463" s="27"/>
      <c r="C463" s="33"/>
      <c r="D463" s="27"/>
    </row>
    <row r="464" spans="1:4" x14ac:dyDescent="0.2">
      <c r="A464" s="32"/>
      <c r="B464" s="27"/>
      <c r="C464" s="33"/>
      <c r="D464" s="27"/>
    </row>
    <row r="465" spans="1:4" x14ac:dyDescent="0.2">
      <c r="A465" s="32"/>
      <c r="B465" s="27"/>
      <c r="C465" s="33"/>
      <c r="D465" s="27"/>
    </row>
    <row r="466" spans="1:4" x14ac:dyDescent="0.2">
      <c r="A466" s="32"/>
      <c r="B466" s="27"/>
      <c r="C466" s="33"/>
      <c r="D466" s="27"/>
    </row>
    <row r="467" spans="1:4" x14ac:dyDescent="0.2">
      <c r="A467" s="32"/>
      <c r="B467" s="27"/>
      <c r="C467" s="33"/>
      <c r="D467" s="27"/>
    </row>
    <row r="468" spans="1:4" x14ac:dyDescent="0.2">
      <c r="A468" s="32"/>
      <c r="B468" s="27"/>
      <c r="C468" s="33"/>
      <c r="D468" s="27"/>
    </row>
    <row r="469" spans="1:4" x14ac:dyDescent="0.2">
      <c r="A469" s="32"/>
      <c r="B469" s="27"/>
      <c r="C469" s="33"/>
      <c r="D469" s="27"/>
    </row>
    <row r="470" spans="1:4" x14ac:dyDescent="0.2">
      <c r="A470" s="32"/>
      <c r="B470" s="27"/>
      <c r="C470" s="33"/>
      <c r="D470" s="27"/>
    </row>
    <row r="471" spans="1:4" x14ac:dyDescent="0.2">
      <c r="A471" s="32"/>
      <c r="B471" s="27"/>
      <c r="C471" s="33"/>
      <c r="D471" s="27"/>
    </row>
    <row r="472" spans="1:4" x14ac:dyDescent="0.2">
      <c r="A472" s="32"/>
      <c r="B472" s="27"/>
      <c r="C472" s="33"/>
      <c r="D472" s="27"/>
    </row>
    <row r="473" spans="1:4" x14ac:dyDescent="0.2">
      <c r="A473" s="32"/>
      <c r="B473" s="27"/>
      <c r="C473" s="33"/>
      <c r="D473" s="27"/>
    </row>
    <row r="474" spans="1:4" x14ac:dyDescent="0.2">
      <c r="A474" s="32"/>
      <c r="B474" s="27"/>
      <c r="C474" s="33"/>
      <c r="D474" s="27"/>
    </row>
    <row r="475" spans="1:4" x14ac:dyDescent="0.2">
      <c r="A475" s="32"/>
      <c r="B475" s="27"/>
      <c r="C475" s="33"/>
      <c r="D475" s="27"/>
    </row>
    <row r="476" spans="1:4" x14ac:dyDescent="0.2">
      <c r="A476" s="32"/>
      <c r="B476" s="27"/>
      <c r="C476" s="33"/>
      <c r="D476" s="27"/>
    </row>
    <row r="477" spans="1:4" x14ac:dyDescent="0.2">
      <c r="A477" s="32"/>
      <c r="B477" s="27"/>
      <c r="C477" s="33"/>
      <c r="D477" s="27"/>
    </row>
    <row r="478" spans="1:4" x14ac:dyDescent="0.2">
      <c r="A478" s="32"/>
      <c r="B478" s="27"/>
      <c r="C478" s="33"/>
      <c r="D478" s="27"/>
    </row>
    <row r="479" spans="1:4" x14ac:dyDescent="0.2">
      <c r="A479" s="32"/>
      <c r="B479" s="27"/>
      <c r="C479" s="33"/>
      <c r="D479" s="27"/>
    </row>
    <row r="480" spans="1:4" x14ac:dyDescent="0.2">
      <c r="A480" s="32"/>
      <c r="B480" s="27"/>
      <c r="C480" s="33"/>
      <c r="D480" s="27"/>
    </row>
    <row r="481" spans="1:4" x14ac:dyDescent="0.2">
      <c r="A481" s="32"/>
      <c r="B481" s="27"/>
      <c r="C481" s="33"/>
      <c r="D481" s="27"/>
    </row>
    <row r="482" spans="1:4" x14ac:dyDescent="0.2">
      <c r="A482" s="32"/>
      <c r="B482" s="27"/>
      <c r="C482" s="33"/>
      <c r="D482" s="27"/>
    </row>
    <row r="483" spans="1:4" x14ac:dyDescent="0.2">
      <c r="A483" s="32"/>
      <c r="B483" s="27"/>
      <c r="C483" s="33"/>
      <c r="D483" s="27"/>
    </row>
    <row r="484" spans="1:4" x14ac:dyDescent="0.2">
      <c r="A484" s="32"/>
      <c r="B484" s="27"/>
      <c r="C484" s="33"/>
      <c r="D484" s="27"/>
    </row>
    <row r="485" spans="1:4" x14ac:dyDescent="0.2">
      <c r="A485" s="32"/>
      <c r="B485" s="27"/>
      <c r="C485" s="33"/>
      <c r="D485" s="27"/>
    </row>
    <row r="486" spans="1:4" x14ac:dyDescent="0.2">
      <c r="A486" s="32"/>
      <c r="B486" s="27"/>
      <c r="C486" s="33"/>
      <c r="D486" s="27"/>
    </row>
    <row r="487" spans="1:4" x14ac:dyDescent="0.2">
      <c r="A487" s="32"/>
      <c r="B487" s="27"/>
      <c r="C487" s="33"/>
      <c r="D487" s="27"/>
    </row>
    <row r="488" spans="1:4" x14ac:dyDescent="0.2">
      <c r="A488" s="32"/>
      <c r="B488" s="27"/>
      <c r="C488" s="33"/>
      <c r="D488" s="27"/>
    </row>
    <row r="489" spans="1:4" x14ac:dyDescent="0.2">
      <c r="A489" s="32"/>
      <c r="B489" s="27"/>
      <c r="C489" s="33"/>
      <c r="D489" s="27"/>
    </row>
    <row r="490" spans="1:4" x14ac:dyDescent="0.2">
      <c r="A490" s="32"/>
      <c r="B490" s="27"/>
      <c r="C490" s="33"/>
      <c r="D490" s="27"/>
    </row>
    <row r="491" spans="1:4" x14ac:dyDescent="0.2">
      <c r="A491" s="32"/>
      <c r="B491" s="27"/>
      <c r="C491" s="33"/>
      <c r="D491" s="27"/>
    </row>
    <row r="492" spans="1:4" x14ac:dyDescent="0.2">
      <c r="A492" s="32"/>
      <c r="B492" s="27"/>
      <c r="C492" s="33"/>
      <c r="D492" s="27"/>
    </row>
    <row r="493" spans="1:4" x14ac:dyDescent="0.2">
      <c r="A493" s="32"/>
      <c r="B493" s="27"/>
      <c r="C493" s="33"/>
      <c r="D493" s="27"/>
    </row>
    <row r="494" spans="1:4" x14ac:dyDescent="0.2">
      <c r="A494" s="32"/>
      <c r="B494" s="27"/>
      <c r="C494" s="33"/>
      <c r="D494" s="27"/>
    </row>
    <row r="495" spans="1:4" x14ac:dyDescent="0.2">
      <c r="A495" s="32"/>
      <c r="B495" s="27"/>
      <c r="C495" s="33"/>
      <c r="D495" s="27"/>
    </row>
    <row r="496" spans="1:4" x14ac:dyDescent="0.2">
      <c r="A496" s="32"/>
      <c r="B496" s="27"/>
      <c r="C496" s="33"/>
      <c r="D496" s="27"/>
    </row>
    <row r="497" spans="1:4" x14ac:dyDescent="0.2">
      <c r="A497" s="32"/>
      <c r="B497" s="27"/>
      <c r="C497" s="33"/>
      <c r="D497" s="27"/>
    </row>
    <row r="498" spans="1:4" x14ac:dyDescent="0.2">
      <c r="A498" s="32"/>
      <c r="B498" s="27"/>
      <c r="C498" s="33"/>
      <c r="D498" s="27"/>
    </row>
    <row r="499" spans="1:4" x14ac:dyDescent="0.2">
      <c r="A499" s="32"/>
      <c r="B499" s="27"/>
      <c r="C499" s="33"/>
      <c r="D499" s="27"/>
    </row>
    <row r="500" spans="1:4" x14ac:dyDescent="0.2">
      <c r="A500" s="32"/>
      <c r="B500" s="27"/>
      <c r="C500" s="33"/>
      <c r="D500" s="27"/>
    </row>
    <row r="501" spans="1:4" x14ac:dyDescent="0.2">
      <c r="A501" s="32"/>
      <c r="B501" s="27"/>
      <c r="C501" s="33"/>
      <c r="D501" s="27"/>
    </row>
    <row r="502" spans="1:4" x14ac:dyDescent="0.2">
      <c r="A502" s="32"/>
      <c r="B502" s="27"/>
      <c r="C502" s="33"/>
      <c r="D502" s="27"/>
    </row>
    <row r="503" spans="1:4" x14ac:dyDescent="0.2">
      <c r="A503" s="32"/>
      <c r="B503" s="27"/>
      <c r="C503" s="33"/>
      <c r="D503" s="27"/>
    </row>
    <row r="504" spans="1:4" x14ac:dyDescent="0.2">
      <c r="A504" s="32"/>
      <c r="B504" s="27"/>
      <c r="C504" s="33"/>
      <c r="D504" s="27"/>
    </row>
    <row r="505" spans="1:4" x14ac:dyDescent="0.2">
      <c r="A505" s="32"/>
      <c r="B505" s="27"/>
      <c r="C505" s="33"/>
      <c r="D505" s="27"/>
    </row>
    <row r="506" spans="1:4" x14ac:dyDescent="0.2">
      <c r="A506" s="32"/>
      <c r="B506" s="27"/>
      <c r="C506" s="33"/>
      <c r="D506" s="27"/>
    </row>
    <row r="507" spans="1:4" x14ac:dyDescent="0.2">
      <c r="A507" s="32"/>
      <c r="B507" s="27"/>
      <c r="C507" s="33"/>
      <c r="D507" s="27"/>
    </row>
    <row r="508" spans="1:4" x14ac:dyDescent="0.2">
      <c r="A508" s="32"/>
      <c r="B508" s="27"/>
      <c r="C508" s="33"/>
      <c r="D508" s="27"/>
    </row>
    <row r="509" spans="1:4" x14ac:dyDescent="0.2">
      <c r="A509" s="32"/>
      <c r="B509" s="27"/>
      <c r="C509" s="33"/>
      <c r="D509" s="27"/>
    </row>
    <row r="510" spans="1:4" x14ac:dyDescent="0.2">
      <c r="A510" s="32"/>
      <c r="B510" s="27"/>
      <c r="C510" s="33"/>
      <c r="D510" s="27"/>
    </row>
    <row r="511" spans="1:4" x14ac:dyDescent="0.2">
      <c r="A511" s="32"/>
      <c r="B511" s="27"/>
      <c r="C511" s="33"/>
      <c r="D511" s="27"/>
    </row>
    <row r="512" spans="1:4" x14ac:dyDescent="0.2">
      <c r="A512" s="32"/>
      <c r="B512" s="27"/>
      <c r="C512" s="33"/>
      <c r="D512" s="27"/>
    </row>
    <row r="513" spans="1:4" x14ac:dyDescent="0.2">
      <c r="A513" s="32"/>
      <c r="B513" s="27"/>
      <c r="C513" s="33"/>
      <c r="D513" s="27"/>
    </row>
    <row r="514" spans="1:4" x14ac:dyDescent="0.2">
      <c r="A514" s="32"/>
      <c r="B514" s="27"/>
      <c r="C514" s="33"/>
      <c r="D514" s="27"/>
    </row>
    <row r="515" spans="1:4" x14ac:dyDescent="0.2">
      <c r="A515" s="32"/>
      <c r="B515" s="27"/>
      <c r="C515" s="33"/>
      <c r="D515" s="27"/>
    </row>
    <row r="516" spans="1:4" x14ac:dyDescent="0.2">
      <c r="A516" s="32"/>
      <c r="B516" s="27"/>
      <c r="C516" s="33"/>
      <c r="D516" s="27"/>
    </row>
    <row r="517" spans="1:4" x14ac:dyDescent="0.2">
      <c r="A517" s="32"/>
      <c r="B517" s="27"/>
      <c r="C517" s="33"/>
      <c r="D517" s="27"/>
    </row>
    <row r="518" spans="1:4" x14ac:dyDescent="0.2">
      <c r="A518" s="32"/>
      <c r="B518" s="27"/>
      <c r="C518" s="33"/>
      <c r="D518" s="27"/>
    </row>
    <row r="519" spans="1:4" x14ac:dyDescent="0.2">
      <c r="A519" s="32"/>
      <c r="B519" s="27"/>
      <c r="C519" s="33"/>
      <c r="D519" s="27"/>
    </row>
    <row r="520" spans="1:4" x14ac:dyDescent="0.2">
      <c r="A520" s="32"/>
      <c r="B520" s="27"/>
      <c r="C520" s="33"/>
      <c r="D520" s="27"/>
    </row>
    <row r="521" spans="1:4" x14ac:dyDescent="0.2">
      <c r="A521" s="32"/>
      <c r="B521" s="27"/>
      <c r="C521" s="33"/>
      <c r="D521" s="27"/>
    </row>
    <row r="522" spans="1:4" x14ac:dyDescent="0.2">
      <c r="A522" s="32"/>
      <c r="B522" s="27"/>
      <c r="C522" s="33"/>
      <c r="D522" s="27"/>
    </row>
    <row r="523" spans="1:4" x14ac:dyDescent="0.2">
      <c r="A523" s="32"/>
      <c r="B523" s="27"/>
      <c r="C523" s="33"/>
      <c r="D523" s="27"/>
    </row>
    <row r="524" spans="1:4" x14ac:dyDescent="0.2">
      <c r="A524" s="32"/>
      <c r="B524" s="27"/>
      <c r="C524" s="33"/>
      <c r="D524" s="27"/>
    </row>
    <row r="525" spans="1:4" x14ac:dyDescent="0.2">
      <c r="A525" s="32"/>
      <c r="B525" s="27"/>
      <c r="C525" s="33"/>
      <c r="D525" s="27"/>
    </row>
    <row r="526" spans="1:4" x14ac:dyDescent="0.2">
      <c r="A526" s="32"/>
      <c r="B526" s="27"/>
      <c r="C526" s="33"/>
      <c r="D526" s="27"/>
    </row>
    <row r="527" spans="1:4" x14ac:dyDescent="0.2">
      <c r="A527" s="32"/>
      <c r="B527" s="27"/>
      <c r="C527" s="33"/>
      <c r="D527" s="27"/>
    </row>
    <row r="528" spans="1:4" x14ac:dyDescent="0.2">
      <c r="A528" s="32"/>
      <c r="B528" s="27"/>
      <c r="C528" s="33"/>
      <c r="D528" s="27"/>
    </row>
    <row r="529" spans="1:4" x14ac:dyDescent="0.2">
      <c r="A529" s="32"/>
      <c r="B529" s="27"/>
      <c r="C529" s="33"/>
      <c r="D529" s="27"/>
    </row>
    <row r="530" spans="1:4" x14ac:dyDescent="0.2">
      <c r="A530" s="32"/>
      <c r="B530" s="27"/>
      <c r="C530" s="33"/>
      <c r="D530" s="27"/>
    </row>
    <row r="531" spans="1:4" x14ac:dyDescent="0.2">
      <c r="A531" s="32"/>
      <c r="B531" s="27"/>
      <c r="C531" s="33"/>
      <c r="D531" s="27"/>
    </row>
    <row r="532" spans="1:4" x14ac:dyDescent="0.2">
      <c r="A532" s="32"/>
      <c r="B532" s="27"/>
      <c r="C532" s="33"/>
      <c r="D532" s="27"/>
    </row>
    <row r="533" spans="1:4" x14ac:dyDescent="0.2">
      <c r="A533" s="32"/>
      <c r="B533" s="27"/>
      <c r="C533" s="33"/>
      <c r="D533" s="27"/>
    </row>
    <row r="534" spans="1:4" x14ac:dyDescent="0.2">
      <c r="A534" s="32"/>
      <c r="B534" s="27"/>
      <c r="C534" s="33"/>
      <c r="D534" s="27"/>
    </row>
    <row r="535" spans="1:4" x14ac:dyDescent="0.2">
      <c r="A535" s="32"/>
      <c r="B535" s="27"/>
      <c r="C535" s="33"/>
      <c r="D535" s="27"/>
    </row>
    <row r="536" spans="1:4" x14ac:dyDescent="0.2">
      <c r="A536" s="32"/>
      <c r="B536" s="27"/>
      <c r="C536" s="33"/>
      <c r="D536" s="27"/>
    </row>
    <row r="537" spans="1:4" x14ac:dyDescent="0.2">
      <c r="A537" s="32"/>
      <c r="B537" s="27"/>
      <c r="C537" s="33"/>
      <c r="D537" s="27"/>
    </row>
    <row r="538" spans="1:4" x14ac:dyDescent="0.2">
      <c r="A538" s="32"/>
      <c r="B538" s="27"/>
      <c r="C538" s="33"/>
      <c r="D538" s="27"/>
    </row>
    <row r="539" spans="1:4" x14ac:dyDescent="0.2">
      <c r="A539" s="32"/>
      <c r="B539" s="27"/>
      <c r="C539" s="33"/>
      <c r="D539" s="27"/>
    </row>
    <row r="540" spans="1:4" x14ac:dyDescent="0.2">
      <c r="A540" s="32"/>
      <c r="B540" s="27"/>
      <c r="C540" s="33"/>
      <c r="D540" s="27"/>
    </row>
    <row r="541" spans="1:4" x14ac:dyDescent="0.2">
      <c r="A541" s="32"/>
      <c r="B541" s="27"/>
      <c r="C541" s="33"/>
      <c r="D541" s="27"/>
    </row>
    <row r="542" spans="1:4" x14ac:dyDescent="0.2">
      <c r="A542" s="32"/>
      <c r="B542" s="27"/>
      <c r="C542" s="33"/>
      <c r="D542" s="27"/>
    </row>
    <row r="543" spans="1:4" x14ac:dyDescent="0.2">
      <c r="A543" s="32"/>
      <c r="B543" s="27"/>
      <c r="C543" s="33"/>
      <c r="D543" s="27"/>
    </row>
    <row r="544" spans="1:4" x14ac:dyDescent="0.2">
      <c r="A544" s="32"/>
      <c r="B544" s="27"/>
      <c r="C544" s="33"/>
      <c r="D544" s="27"/>
    </row>
    <row r="545" spans="1:4" x14ac:dyDescent="0.2">
      <c r="A545" s="32"/>
      <c r="B545" s="27"/>
      <c r="C545" s="33"/>
      <c r="D545" s="27"/>
    </row>
    <row r="546" spans="1:4" x14ac:dyDescent="0.2">
      <c r="A546" s="32"/>
      <c r="B546" s="27"/>
      <c r="C546" s="33"/>
      <c r="D546" s="27"/>
    </row>
    <row r="547" spans="1:4" x14ac:dyDescent="0.2">
      <c r="A547" s="32"/>
      <c r="B547" s="27"/>
      <c r="C547" s="33"/>
      <c r="D547" s="27"/>
    </row>
    <row r="548" spans="1:4" x14ac:dyDescent="0.2">
      <c r="A548" s="32"/>
      <c r="B548" s="27"/>
      <c r="C548" s="33"/>
      <c r="D548" s="27"/>
    </row>
    <row r="549" spans="1:4" x14ac:dyDescent="0.2">
      <c r="A549" s="32"/>
      <c r="B549" s="27"/>
      <c r="C549" s="33"/>
      <c r="D549" s="27"/>
    </row>
    <row r="550" spans="1:4" x14ac:dyDescent="0.2">
      <c r="A550" s="32"/>
      <c r="B550" s="27"/>
      <c r="C550" s="33"/>
      <c r="D550" s="27"/>
    </row>
    <row r="551" spans="1:4" x14ac:dyDescent="0.2">
      <c r="A551" s="32"/>
      <c r="B551" s="27"/>
      <c r="C551" s="33"/>
      <c r="D551" s="27"/>
    </row>
    <row r="552" spans="1:4" x14ac:dyDescent="0.2">
      <c r="A552" s="32"/>
      <c r="B552" s="27"/>
      <c r="C552" s="33"/>
      <c r="D552" s="27"/>
    </row>
    <row r="553" spans="1:4" x14ac:dyDescent="0.2">
      <c r="A553" s="32"/>
      <c r="B553" s="27"/>
      <c r="C553" s="33"/>
      <c r="D553" s="27"/>
    </row>
    <row r="554" spans="1:4" x14ac:dyDescent="0.2">
      <c r="A554" s="32"/>
      <c r="B554" s="27"/>
      <c r="C554" s="33"/>
      <c r="D554" s="27"/>
    </row>
    <row r="555" spans="1:4" x14ac:dyDescent="0.2">
      <c r="A555" s="32"/>
      <c r="B555" s="27"/>
      <c r="C555" s="33"/>
      <c r="D555" s="27"/>
    </row>
    <row r="556" spans="1:4" x14ac:dyDescent="0.2">
      <c r="A556" s="32"/>
      <c r="B556" s="27"/>
      <c r="C556" s="33"/>
      <c r="D556" s="27"/>
    </row>
    <row r="557" spans="1:4" x14ac:dyDescent="0.2">
      <c r="A557" s="32"/>
      <c r="B557" s="27"/>
      <c r="C557" s="33"/>
      <c r="D557" s="27"/>
    </row>
    <row r="558" spans="1:4" x14ac:dyDescent="0.2">
      <c r="A558" s="32"/>
      <c r="B558" s="27"/>
      <c r="C558" s="33"/>
      <c r="D558" s="27"/>
    </row>
    <row r="559" spans="1:4" x14ac:dyDescent="0.2">
      <c r="A559" s="32"/>
      <c r="B559" s="27"/>
      <c r="C559" s="33"/>
      <c r="D559" s="27"/>
    </row>
    <row r="560" spans="1:4" x14ac:dyDescent="0.2">
      <c r="A560" s="32"/>
      <c r="B560" s="27"/>
      <c r="C560" s="33"/>
      <c r="D560" s="27"/>
    </row>
    <row r="561" spans="1:4" x14ac:dyDescent="0.2">
      <c r="A561" s="32"/>
      <c r="B561" s="27"/>
      <c r="C561" s="33"/>
      <c r="D561" s="27"/>
    </row>
    <row r="562" spans="1:4" x14ac:dyDescent="0.2">
      <c r="A562" s="32"/>
      <c r="B562" s="27"/>
      <c r="C562" s="33"/>
      <c r="D562" s="27"/>
    </row>
    <row r="563" spans="1:4" x14ac:dyDescent="0.2">
      <c r="A563" s="32"/>
      <c r="B563" s="27"/>
      <c r="C563" s="33"/>
      <c r="D563" s="27"/>
    </row>
    <row r="564" spans="1:4" x14ac:dyDescent="0.2">
      <c r="A564" s="32"/>
      <c r="B564" s="27"/>
      <c r="C564" s="33"/>
      <c r="D564" s="27"/>
    </row>
    <row r="565" spans="1:4" x14ac:dyDescent="0.2">
      <c r="A565" s="32"/>
      <c r="B565" s="27"/>
      <c r="C565" s="33"/>
      <c r="D565" s="27"/>
    </row>
    <row r="566" spans="1:4" x14ac:dyDescent="0.2">
      <c r="A566" s="32"/>
      <c r="B566" s="27"/>
      <c r="C566" s="33"/>
      <c r="D566" s="27"/>
    </row>
    <row r="567" spans="1:4" x14ac:dyDescent="0.2">
      <c r="A567" s="32"/>
      <c r="B567" s="27"/>
      <c r="C567" s="33"/>
      <c r="D567" s="27"/>
    </row>
    <row r="568" spans="1:4" x14ac:dyDescent="0.2">
      <c r="A568" s="32"/>
      <c r="B568" s="27"/>
      <c r="C568" s="33"/>
      <c r="D568" s="27"/>
    </row>
    <row r="569" spans="1:4" x14ac:dyDescent="0.2">
      <c r="A569" s="32"/>
      <c r="B569" s="27"/>
      <c r="C569" s="33"/>
      <c r="D569" s="27"/>
    </row>
    <row r="570" spans="1:4" x14ac:dyDescent="0.2">
      <c r="A570" s="32"/>
      <c r="B570" s="27"/>
      <c r="C570" s="33"/>
      <c r="D570" s="27"/>
    </row>
    <row r="571" spans="1:4" x14ac:dyDescent="0.2">
      <c r="A571" s="32"/>
      <c r="B571" s="27"/>
      <c r="C571" s="33"/>
      <c r="D571" s="27"/>
    </row>
    <row r="572" spans="1:4" x14ac:dyDescent="0.2">
      <c r="A572" s="32"/>
      <c r="B572" s="27"/>
      <c r="C572" s="33"/>
      <c r="D572" s="27"/>
    </row>
    <row r="573" spans="1:4" x14ac:dyDescent="0.2">
      <c r="A573" s="32"/>
      <c r="B573" s="27"/>
      <c r="C573" s="33"/>
      <c r="D573" s="27"/>
    </row>
    <row r="574" spans="1:4" x14ac:dyDescent="0.2">
      <c r="A574" s="32"/>
      <c r="B574" s="27"/>
      <c r="C574" s="33"/>
      <c r="D574" s="27"/>
    </row>
    <row r="575" spans="1:4" x14ac:dyDescent="0.2">
      <c r="A575" s="32"/>
      <c r="B575" s="27"/>
      <c r="C575" s="33"/>
      <c r="D575" s="27"/>
    </row>
    <row r="576" spans="1:4" x14ac:dyDescent="0.2">
      <c r="A576" s="32"/>
      <c r="B576" s="27"/>
      <c r="C576" s="33"/>
      <c r="D576" s="27"/>
    </row>
    <row r="577" spans="1:4" x14ac:dyDescent="0.2">
      <c r="A577" s="32"/>
      <c r="B577" s="27"/>
      <c r="C577" s="33"/>
      <c r="D577" s="27"/>
    </row>
    <row r="578" spans="1:4" x14ac:dyDescent="0.2">
      <c r="A578" s="32"/>
      <c r="B578" s="27"/>
      <c r="C578" s="33"/>
      <c r="D578" s="27"/>
    </row>
    <row r="579" spans="1:4" x14ac:dyDescent="0.2">
      <c r="A579" s="32"/>
      <c r="B579" s="27"/>
      <c r="C579" s="33"/>
      <c r="D579" s="27"/>
    </row>
    <row r="580" spans="1:4" x14ac:dyDescent="0.2">
      <c r="A580" s="32"/>
      <c r="B580" s="27"/>
      <c r="C580" s="33"/>
      <c r="D580" s="27"/>
    </row>
    <row r="581" spans="1:4" x14ac:dyDescent="0.2">
      <c r="A581" s="32"/>
      <c r="B581" s="27"/>
      <c r="C581" s="33"/>
      <c r="D581" s="27"/>
    </row>
    <row r="582" spans="1:4" x14ac:dyDescent="0.2">
      <c r="A582" s="32"/>
      <c r="B582" s="27"/>
      <c r="C582" s="33"/>
      <c r="D582" s="27"/>
    </row>
    <row r="583" spans="1:4" x14ac:dyDescent="0.2">
      <c r="A583" s="32"/>
      <c r="B583" s="27"/>
      <c r="C583" s="33"/>
      <c r="D583" s="27"/>
    </row>
    <row r="584" spans="1:4" x14ac:dyDescent="0.2">
      <c r="A584" s="32"/>
      <c r="B584" s="27"/>
      <c r="C584" s="33"/>
      <c r="D584" s="27"/>
    </row>
    <row r="585" spans="1:4" x14ac:dyDescent="0.2">
      <c r="A585" s="32"/>
      <c r="B585" s="27"/>
      <c r="C585" s="33"/>
      <c r="D585" s="27"/>
    </row>
    <row r="586" spans="1:4" x14ac:dyDescent="0.2">
      <c r="A586" s="32"/>
      <c r="B586" s="27"/>
      <c r="C586" s="33"/>
      <c r="D586" s="27"/>
    </row>
    <row r="587" spans="1:4" x14ac:dyDescent="0.2">
      <c r="A587" s="32"/>
      <c r="B587" s="27"/>
      <c r="C587" s="33"/>
      <c r="D587" s="27"/>
    </row>
    <row r="588" spans="1:4" x14ac:dyDescent="0.2">
      <c r="A588" s="32"/>
      <c r="B588" s="27"/>
      <c r="C588" s="33"/>
      <c r="D588" s="27"/>
    </row>
    <row r="589" spans="1:4" x14ac:dyDescent="0.2">
      <c r="A589" s="32"/>
      <c r="B589" s="27"/>
      <c r="C589" s="33"/>
      <c r="D589" s="27"/>
    </row>
    <row r="590" spans="1:4" x14ac:dyDescent="0.2">
      <c r="A590" s="32"/>
      <c r="B590" s="27"/>
      <c r="C590" s="33"/>
      <c r="D590" s="27"/>
    </row>
    <row r="591" spans="1:4" x14ac:dyDescent="0.2">
      <c r="A591" s="32"/>
      <c r="B591" s="27"/>
      <c r="C591" s="33"/>
      <c r="D591" s="27"/>
    </row>
    <row r="592" spans="1:4" x14ac:dyDescent="0.2">
      <c r="A592" s="32"/>
      <c r="B592" s="27"/>
      <c r="C592" s="33"/>
      <c r="D592" s="27"/>
    </row>
    <row r="593" spans="1:4" x14ac:dyDescent="0.2">
      <c r="A593" s="32"/>
      <c r="B593" s="27"/>
      <c r="C593" s="33"/>
      <c r="D593" s="27"/>
    </row>
    <row r="594" spans="1:4" x14ac:dyDescent="0.2">
      <c r="A594" s="32"/>
      <c r="B594" s="27"/>
      <c r="C594" s="33"/>
      <c r="D594" s="27"/>
    </row>
    <row r="595" spans="1:4" x14ac:dyDescent="0.2">
      <c r="A595" s="32"/>
      <c r="B595" s="27"/>
      <c r="C595" s="33"/>
      <c r="D595" s="27"/>
    </row>
    <row r="596" spans="1:4" x14ac:dyDescent="0.2">
      <c r="A596" s="32"/>
      <c r="B596" s="27"/>
      <c r="C596" s="33"/>
      <c r="D596" s="27"/>
    </row>
    <row r="597" spans="1:4" x14ac:dyDescent="0.2">
      <c r="A597" s="32"/>
      <c r="B597" s="27"/>
      <c r="C597" s="33"/>
      <c r="D597" s="27"/>
    </row>
    <row r="598" spans="1:4" x14ac:dyDescent="0.2">
      <c r="A598" s="32"/>
      <c r="B598" s="27"/>
      <c r="C598" s="33"/>
      <c r="D598" s="27"/>
    </row>
    <row r="599" spans="1:4" x14ac:dyDescent="0.2">
      <c r="A599" s="32"/>
      <c r="B599" s="27"/>
      <c r="C599" s="33"/>
      <c r="D599" s="27"/>
    </row>
    <row r="600" spans="1:4" x14ac:dyDescent="0.2">
      <c r="A600" s="32"/>
      <c r="B600" s="27"/>
      <c r="C600" s="33"/>
      <c r="D600" s="27"/>
    </row>
    <row r="601" spans="1:4" x14ac:dyDescent="0.2">
      <c r="A601" s="32"/>
      <c r="B601" s="27"/>
      <c r="C601" s="33"/>
      <c r="D601" s="27"/>
    </row>
    <row r="602" spans="1:4" x14ac:dyDescent="0.2">
      <c r="A602" s="32"/>
      <c r="B602" s="27"/>
      <c r="C602" s="33"/>
      <c r="D602" s="27"/>
    </row>
    <row r="603" spans="1:4" x14ac:dyDescent="0.2">
      <c r="A603" s="32"/>
      <c r="B603" s="27"/>
      <c r="C603" s="33"/>
      <c r="D603" s="27"/>
    </row>
    <row r="604" spans="1:4" x14ac:dyDescent="0.2">
      <c r="A604" s="32"/>
      <c r="B604" s="27"/>
      <c r="C604" s="33"/>
      <c r="D604" s="27"/>
    </row>
    <row r="605" spans="1:4" x14ac:dyDescent="0.2">
      <c r="A605" s="32"/>
      <c r="B605" s="27"/>
      <c r="C605" s="33"/>
      <c r="D605" s="27"/>
    </row>
    <row r="606" spans="1:4" x14ac:dyDescent="0.2">
      <c r="A606" s="32"/>
      <c r="B606" s="27"/>
      <c r="C606" s="33"/>
      <c r="D606" s="27"/>
    </row>
    <row r="607" spans="1:4" x14ac:dyDescent="0.2">
      <c r="A607" s="32"/>
      <c r="B607" s="27"/>
      <c r="C607" s="33"/>
      <c r="D607" s="27"/>
    </row>
    <row r="608" spans="1:4" x14ac:dyDescent="0.2">
      <c r="A608" s="32"/>
      <c r="B608" s="27"/>
      <c r="C608" s="33"/>
      <c r="D608" s="27"/>
    </row>
    <row r="609" spans="1:4" x14ac:dyDescent="0.2">
      <c r="A609" s="32"/>
      <c r="B609" s="27"/>
      <c r="C609" s="33"/>
      <c r="D609" s="27"/>
    </row>
    <row r="610" spans="1:4" x14ac:dyDescent="0.2">
      <c r="A610" s="32"/>
      <c r="B610" s="27"/>
      <c r="C610" s="33"/>
      <c r="D610" s="27"/>
    </row>
    <row r="611" spans="1:4" x14ac:dyDescent="0.2">
      <c r="A611" s="32"/>
      <c r="B611" s="27"/>
      <c r="C611" s="33"/>
      <c r="D611" s="27"/>
    </row>
    <row r="612" spans="1:4" x14ac:dyDescent="0.2">
      <c r="A612" s="32"/>
      <c r="B612" s="27"/>
      <c r="C612" s="33"/>
      <c r="D612" s="27"/>
    </row>
    <row r="613" spans="1:4" x14ac:dyDescent="0.2">
      <c r="A613" s="32"/>
      <c r="B613" s="27"/>
      <c r="C613" s="33"/>
      <c r="D613" s="27"/>
    </row>
    <row r="614" spans="1:4" x14ac:dyDescent="0.2">
      <c r="A614" s="32"/>
      <c r="B614" s="27"/>
      <c r="C614" s="33"/>
      <c r="D614" s="27"/>
    </row>
    <row r="615" spans="1:4" x14ac:dyDescent="0.2">
      <c r="A615" s="32"/>
      <c r="B615" s="27"/>
      <c r="C615" s="33"/>
      <c r="D615" s="27"/>
    </row>
    <row r="616" spans="1:4" x14ac:dyDescent="0.2">
      <c r="A616" s="32"/>
      <c r="B616" s="27"/>
      <c r="C616" s="33"/>
      <c r="D616" s="27"/>
    </row>
    <row r="617" spans="1:4" x14ac:dyDescent="0.2">
      <c r="A617" s="32"/>
      <c r="B617" s="27"/>
      <c r="C617" s="33"/>
      <c r="D617" s="27"/>
    </row>
    <row r="618" spans="1:4" x14ac:dyDescent="0.2">
      <c r="A618" s="32"/>
      <c r="B618" s="27"/>
      <c r="C618" s="33"/>
      <c r="D618" s="27"/>
    </row>
    <row r="619" spans="1:4" x14ac:dyDescent="0.2">
      <c r="A619" s="32"/>
      <c r="B619" s="27"/>
      <c r="C619" s="33"/>
      <c r="D619" s="27"/>
    </row>
    <row r="620" spans="1:4" x14ac:dyDescent="0.2">
      <c r="A620" s="32"/>
      <c r="B620" s="27"/>
      <c r="C620" s="33"/>
      <c r="D620" s="27"/>
    </row>
    <row r="621" spans="1:4" x14ac:dyDescent="0.2">
      <c r="A621" s="32"/>
      <c r="B621" s="27"/>
      <c r="C621" s="33"/>
      <c r="D621" s="27"/>
    </row>
    <row r="622" spans="1:4" x14ac:dyDescent="0.2">
      <c r="A622" s="32"/>
      <c r="B622" s="27"/>
      <c r="C622" s="33"/>
      <c r="D622" s="27"/>
    </row>
    <row r="623" spans="1:4" x14ac:dyDescent="0.2">
      <c r="A623" s="32"/>
      <c r="B623" s="27"/>
      <c r="C623" s="33"/>
      <c r="D623" s="27"/>
    </row>
    <row r="624" spans="1:4" x14ac:dyDescent="0.2">
      <c r="A624" s="32"/>
      <c r="B624" s="27"/>
      <c r="C624" s="33"/>
      <c r="D624" s="27"/>
    </row>
    <row r="625" spans="1:4" x14ac:dyDescent="0.2">
      <c r="A625" s="32"/>
      <c r="B625" s="27"/>
      <c r="C625" s="33"/>
      <c r="D625" s="27"/>
    </row>
    <row r="626" spans="1:4" x14ac:dyDescent="0.2">
      <c r="A626" s="32"/>
      <c r="B626" s="27"/>
      <c r="C626" s="33"/>
      <c r="D626" s="27"/>
    </row>
    <row r="627" spans="1:4" x14ac:dyDescent="0.2">
      <c r="A627" s="32"/>
      <c r="B627" s="27"/>
      <c r="C627" s="33"/>
      <c r="D627" s="27"/>
    </row>
    <row r="628" spans="1:4" x14ac:dyDescent="0.2">
      <c r="A628" s="32"/>
      <c r="B628" s="27"/>
      <c r="C628" s="33"/>
      <c r="D628" s="27"/>
    </row>
    <row r="629" spans="1:4" x14ac:dyDescent="0.2">
      <c r="A629" s="32"/>
      <c r="B629" s="27"/>
      <c r="C629" s="33"/>
      <c r="D629" s="27"/>
    </row>
    <row r="630" spans="1:4" x14ac:dyDescent="0.2">
      <c r="A630" s="32"/>
      <c r="B630" s="27"/>
      <c r="C630" s="33"/>
      <c r="D630" s="27"/>
    </row>
    <row r="631" spans="1:4" x14ac:dyDescent="0.2">
      <c r="A631" s="32"/>
      <c r="B631" s="27"/>
      <c r="C631" s="33"/>
      <c r="D631" s="27"/>
    </row>
    <row r="632" spans="1:4" x14ac:dyDescent="0.2">
      <c r="A632" s="32"/>
      <c r="B632" s="27"/>
      <c r="C632" s="33"/>
      <c r="D632" s="27"/>
    </row>
    <row r="633" spans="1:4" x14ac:dyDescent="0.2">
      <c r="A633" s="32"/>
      <c r="B633" s="27"/>
      <c r="C633" s="33"/>
      <c r="D633" s="27"/>
    </row>
    <row r="634" spans="1:4" x14ac:dyDescent="0.2">
      <c r="A634" s="32"/>
      <c r="B634" s="27"/>
      <c r="C634" s="33"/>
      <c r="D634" s="27"/>
    </row>
    <row r="635" spans="1:4" x14ac:dyDescent="0.2">
      <c r="A635" s="32"/>
      <c r="B635" s="27"/>
      <c r="C635" s="33"/>
      <c r="D635" s="27"/>
    </row>
    <row r="636" spans="1:4" x14ac:dyDescent="0.2">
      <c r="A636" s="32"/>
      <c r="B636" s="27"/>
      <c r="C636" s="33"/>
      <c r="D636" s="27"/>
    </row>
    <row r="637" spans="1:4" x14ac:dyDescent="0.2">
      <c r="A637" s="32"/>
      <c r="B637" s="27"/>
      <c r="C637" s="33"/>
      <c r="D637" s="27"/>
    </row>
    <row r="638" spans="1:4" x14ac:dyDescent="0.2">
      <c r="A638" s="32"/>
      <c r="B638" s="27"/>
      <c r="C638" s="33"/>
      <c r="D638" s="27"/>
    </row>
    <row r="639" spans="1:4" x14ac:dyDescent="0.2">
      <c r="A639" s="32"/>
      <c r="B639" s="27"/>
      <c r="C639" s="33"/>
      <c r="D639" s="27"/>
    </row>
    <row r="640" spans="1:4" x14ac:dyDescent="0.2">
      <c r="A640" s="32"/>
      <c r="B640" s="27"/>
      <c r="C640" s="33"/>
      <c r="D640" s="27"/>
    </row>
    <row r="641" spans="1:4" x14ac:dyDescent="0.2">
      <c r="A641" s="32"/>
      <c r="B641" s="27"/>
      <c r="C641" s="33"/>
      <c r="D641" s="27"/>
    </row>
    <row r="642" spans="1:4" x14ac:dyDescent="0.2">
      <c r="A642" s="32"/>
      <c r="B642" s="27"/>
      <c r="C642" s="33"/>
      <c r="D642" s="27"/>
    </row>
    <row r="643" spans="1:4" x14ac:dyDescent="0.2">
      <c r="A643" s="32"/>
      <c r="B643" s="27"/>
      <c r="C643" s="33"/>
      <c r="D643" s="27"/>
    </row>
    <row r="644" spans="1:4" x14ac:dyDescent="0.2">
      <c r="A644" s="32"/>
      <c r="B644" s="27"/>
      <c r="C644" s="33"/>
      <c r="D644" s="27"/>
    </row>
    <row r="645" spans="1:4" x14ac:dyDescent="0.2">
      <c r="A645" s="32"/>
      <c r="B645" s="27"/>
      <c r="C645" s="33"/>
      <c r="D645" s="27"/>
    </row>
    <row r="646" spans="1:4" x14ac:dyDescent="0.2">
      <c r="A646" s="32"/>
      <c r="B646" s="27"/>
      <c r="C646" s="33"/>
      <c r="D646" s="27"/>
    </row>
    <row r="647" spans="1:4" x14ac:dyDescent="0.2">
      <c r="A647" s="32"/>
      <c r="B647" s="27"/>
      <c r="C647" s="33"/>
      <c r="D647" s="27"/>
    </row>
    <row r="648" spans="1:4" x14ac:dyDescent="0.2">
      <c r="A648" s="32"/>
      <c r="B648" s="27"/>
      <c r="C648" s="33"/>
      <c r="D648" s="27"/>
    </row>
    <row r="649" spans="1:4" x14ac:dyDescent="0.2">
      <c r="A649" s="32"/>
      <c r="B649" s="27"/>
      <c r="C649" s="33"/>
      <c r="D649" s="27"/>
    </row>
    <row r="650" spans="1:4" x14ac:dyDescent="0.2">
      <c r="A650" s="32"/>
      <c r="B650" s="27"/>
      <c r="C650" s="33"/>
      <c r="D650" s="27"/>
    </row>
    <row r="651" spans="1:4" x14ac:dyDescent="0.2">
      <c r="A651" s="32"/>
      <c r="B651" s="27"/>
      <c r="C651" s="33"/>
      <c r="D651" s="27"/>
    </row>
    <row r="652" spans="1:4" x14ac:dyDescent="0.2">
      <c r="A652" s="32"/>
      <c r="B652" s="27"/>
      <c r="C652" s="33"/>
      <c r="D652" s="27"/>
    </row>
    <row r="653" spans="1:4" x14ac:dyDescent="0.2">
      <c r="A653" s="32"/>
      <c r="B653" s="27"/>
      <c r="C653" s="33"/>
      <c r="D653" s="27"/>
    </row>
    <row r="654" spans="1:4" x14ac:dyDescent="0.2">
      <c r="A654" s="32"/>
      <c r="B654" s="27"/>
      <c r="C654" s="33"/>
      <c r="D654" s="27"/>
    </row>
    <row r="655" spans="1:4" x14ac:dyDescent="0.2">
      <c r="A655" s="32"/>
      <c r="B655" s="27"/>
      <c r="C655" s="33"/>
      <c r="D655" s="27"/>
    </row>
    <row r="656" spans="1:4" x14ac:dyDescent="0.2">
      <c r="A656" s="32"/>
      <c r="B656" s="27"/>
      <c r="C656" s="33"/>
      <c r="D656" s="27"/>
    </row>
    <row r="657" spans="1:4" x14ac:dyDescent="0.2">
      <c r="A657" s="32"/>
      <c r="B657" s="27"/>
      <c r="C657" s="33"/>
      <c r="D657" s="27"/>
    </row>
    <row r="658" spans="1:4" x14ac:dyDescent="0.2">
      <c r="A658" s="32"/>
      <c r="B658" s="27"/>
      <c r="C658" s="33"/>
      <c r="D658" s="27"/>
    </row>
    <row r="659" spans="1:4" x14ac:dyDescent="0.2">
      <c r="A659" s="32"/>
      <c r="B659" s="27"/>
      <c r="C659" s="33"/>
      <c r="D659" s="27"/>
    </row>
    <row r="660" spans="1:4" x14ac:dyDescent="0.2">
      <c r="A660" s="32"/>
      <c r="B660" s="27"/>
      <c r="C660" s="33"/>
      <c r="D660" s="27"/>
    </row>
    <row r="661" spans="1:4" x14ac:dyDescent="0.2">
      <c r="A661" s="32"/>
      <c r="B661" s="27"/>
      <c r="C661" s="33"/>
      <c r="D661" s="27"/>
    </row>
    <row r="662" spans="1:4" x14ac:dyDescent="0.2">
      <c r="A662" s="32"/>
      <c r="B662" s="27"/>
      <c r="C662" s="33"/>
      <c r="D662" s="27"/>
    </row>
    <row r="663" spans="1:4" x14ac:dyDescent="0.2">
      <c r="A663" s="32"/>
      <c r="B663" s="27"/>
      <c r="C663" s="33"/>
      <c r="D663" s="27"/>
    </row>
    <row r="664" spans="1:4" x14ac:dyDescent="0.2">
      <c r="A664" s="32"/>
      <c r="B664" s="27"/>
      <c r="C664" s="33"/>
      <c r="D664" s="27"/>
    </row>
    <row r="665" spans="1:4" x14ac:dyDescent="0.2">
      <c r="A665" s="32"/>
      <c r="B665" s="27"/>
      <c r="C665" s="33"/>
      <c r="D665" s="27"/>
    </row>
    <row r="666" spans="1:4" x14ac:dyDescent="0.2">
      <c r="A666" s="32"/>
      <c r="B666" s="27"/>
      <c r="C666" s="33"/>
      <c r="D666" s="27"/>
    </row>
    <row r="667" spans="1:4" x14ac:dyDescent="0.2">
      <c r="A667" s="32"/>
      <c r="B667" s="27"/>
      <c r="C667" s="33"/>
      <c r="D667" s="27"/>
    </row>
    <row r="668" spans="1:4" x14ac:dyDescent="0.2">
      <c r="A668" s="32"/>
      <c r="B668" s="27"/>
      <c r="C668" s="33"/>
      <c r="D668" s="27"/>
    </row>
    <row r="669" spans="1:4" x14ac:dyDescent="0.2">
      <c r="A669" s="32"/>
      <c r="B669" s="27"/>
      <c r="C669" s="33"/>
      <c r="D669" s="27"/>
    </row>
    <row r="670" spans="1:4" x14ac:dyDescent="0.2">
      <c r="A670" s="32"/>
      <c r="B670" s="27"/>
      <c r="C670" s="33"/>
      <c r="D670" s="27"/>
    </row>
    <row r="671" spans="1:4" x14ac:dyDescent="0.2">
      <c r="A671" s="32"/>
      <c r="B671" s="27"/>
      <c r="C671" s="33"/>
      <c r="D671" s="27"/>
    </row>
    <row r="672" spans="1:4" x14ac:dyDescent="0.2">
      <c r="A672" s="32"/>
      <c r="B672" s="27"/>
      <c r="C672" s="33"/>
      <c r="D672" s="27"/>
    </row>
    <row r="673" spans="1:4" x14ac:dyDescent="0.2">
      <c r="A673" s="32"/>
      <c r="B673" s="27"/>
      <c r="C673" s="33"/>
      <c r="D673" s="27"/>
    </row>
    <row r="674" spans="1:4" x14ac:dyDescent="0.2">
      <c r="A674" s="32"/>
      <c r="B674" s="27"/>
      <c r="C674" s="33"/>
      <c r="D674" s="27"/>
    </row>
    <row r="675" spans="1:4" x14ac:dyDescent="0.2">
      <c r="A675" s="32"/>
      <c r="B675" s="27"/>
      <c r="C675" s="33"/>
      <c r="D675" s="27"/>
    </row>
    <row r="676" spans="1:4" x14ac:dyDescent="0.2">
      <c r="A676" s="32"/>
      <c r="B676" s="27"/>
      <c r="C676" s="33"/>
      <c r="D676" s="27"/>
    </row>
    <row r="677" spans="1:4" x14ac:dyDescent="0.2">
      <c r="A677" s="32"/>
      <c r="B677" s="27"/>
      <c r="C677" s="33"/>
      <c r="D677" s="27"/>
    </row>
    <row r="678" spans="1:4" x14ac:dyDescent="0.2">
      <c r="A678" s="32"/>
      <c r="B678" s="27"/>
      <c r="C678" s="33"/>
      <c r="D678" s="27"/>
    </row>
    <row r="679" spans="1:4" x14ac:dyDescent="0.2">
      <c r="A679" s="32"/>
      <c r="B679" s="27"/>
      <c r="C679" s="33"/>
      <c r="D679" s="27"/>
    </row>
    <row r="680" spans="1:4" x14ac:dyDescent="0.2">
      <c r="A680" s="32"/>
      <c r="B680" s="27"/>
      <c r="C680" s="33"/>
      <c r="D680" s="27"/>
    </row>
    <row r="681" spans="1:4" x14ac:dyDescent="0.2">
      <c r="A681" s="32"/>
      <c r="B681" s="27"/>
      <c r="C681" s="33"/>
      <c r="D681" s="27"/>
    </row>
    <row r="682" spans="1:4" x14ac:dyDescent="0.2">
      <c r="A682" s="32"/>
      <c r="B682" s="27"/>
      <c r="C682" s="33"/>
      <c r="D682" s="27"/>
    </row>
    <row r="683" spans="1:4" x14ac:dyDescent="0.2">
      <c r="A683" s="32"/>
      <c r="B683" s="27"/>
      <c r="C683" s="33"/>
      <c r="D683" s="27"/>
    </row>
    <row r="684" spans="1:4" x14ac:dyDescent="0.2">
      <c r="A684" s="32"/>
      <c r="B684" s="27"/>
      <c r="C684" s="33"/>
      <c r="D684" s="27"/>
    </row>
    <row r="685" spans="1:4" x14ac:dyDescent="0.2">
      <c r="A685" s="32"/>
      <c r="B685" s="27"/>
      <c r="C685" s="33"/>
      <c r="D685" s="27"/>
    </row>
    <row r="686" spans="1:4" x14ac:dyDescent="0.2">
      <c r="A686" s="32"/>
      <c r="B686" s="27"/>
      <c r="C686" s="33"/>
      <c r="D686" s="27"/>
    </row>
    <row r="687" spans="1:4" x14ac:dyDescent="0.2">
      <c r="A687" s="32"/>
      <c r="B687" s="27"/>
      <c r="C687" s="33"/>
      <c r="D687" s="27"/>
    </row>
    <row r="688" spans="1:4" x14ac:dyDescent="0.2">
      <c r="A688" s="32"/>
      <c r="B688" s="27"/>
      <c r="C688" s="33"/>
      <c r="D688" s="27"/>
    </row>
    <row r="689" spans="1:4" x14ac:dyDescent="0.2">
      <c r="A689" s="32"/>
      <c r="B689" s="27"/>
      <c r="C689" s="33"/>
      <c r="D689" s="27"/>
    </row>
    <row r="690" spans="1:4" x14ac:dyDescent="0.2">
      <c r="A690" s="32"/>
      <c r="B690" s="27"/>
      <c r="C690" s="33"/>
      <c r="D690" s="27"/>
    </row>
    <row r="691" spans="1:4" x14ac:dyDescent="0.2">
      <c r="A691" s="32"/>
      <c r="B691" s="27"/>
      <c r="C691" s="33"/>
      <c r="D691" s="27"/>
    </row>
    <row r="692" spans="1:4" x14ac:dyDescent="0.2">
      <c r="A692" s="32"/>
      <c r="B692" s="27"/>
      <c r="C692" s="33"/>
      <c r="D692" s="27"/>
    </row>
    <row r="693" spans="1:4" x14ac:dyDescent="0.2">
      <c r="A693" s="32"/>
      <c r="B693" s="27"/>
      <c r="C693" s="33"/>
      <c r="D693" s="27"/>
    </row>
    <row r="694" spans="1:4" x14ac:dyDescent="0.2">
      <c r="A694" s="32"/>
      <c r="B694" s="27"/>
      <c r="C694" s="33"/>
      <c r="D694" s="27"/>
    </row>
    <row r="695" spans="1:4" x14ac:dyDescent="0.2">
      <c r="A695" s="32"/>
      <c r="B695" s="27"/>
      <c r="C695" s="33"/>
      <c r="D695" s="27"/>
    </row>
    <row r="696" spans="1:4" x14ac:dyDescent="0.2">
      <c r="A696" s="32"/>
      <c r="B696" s="27"/>
      <c r="C696" s="33"/>
      <c r="D696" s="27"/>
    </row>
    <row r="697" spans="1:4" x14ac:dyDescent="0.2">
      <c r="A697" s="32"/>
      <c r="B697" s="27"/>
      <c r="C697" s="33"/>
      <c r="D697" s="27"/>
    </row>
    <row r="698" spans="1:4" x14ac:dyDescent="0.2">
      <c r="A698" s="32"/>
      <c r="B698" s="27"/>
      <c r="C698" s="33"/>
      <c r="D698" s="27"/>
    </row>
    <row r="699" spans="1:4" x14ac:dyDescent="0.2">
      <c r="A699" s="32"/>
      <c r="B699" s="27"/>
      <c r="C699" s="33"/>
      <c r="D699" s="27"/>
    </row>
    <row r="700" spans="1:4" x14ac:dyDescent="0.2">
      <c r="A700" s="32"/>
      <c r="B700" s="27"/>
      <c r="C700" s="33"/>
      <c r="D700" s="27"/>
    </row>
    <row r="701" spans="1:4" x14ac:dyDescent="0.2">
      <c r="A701" s="32"/>
      <c r="B701" s="27"/>
      <c r="C701" s="33"/>
      <c r="D701" s="27"/>
    </row>
    <row r="702" spans="1:4" x14ac:dyDescent="0.2">
      <c r="A702" s="32"/>
      <c r="B702" s="27"/>
      <c r="C702" s="33"/>
      <c r="D702" s="27"/>
    </row>
    <row r="703" spans="1:4" x14ac:dyDescent="0.2">
      <c r="A703" s="32"/>
      <c r="B703" s="27"/>
      <c r="C703" s="33"/>
      <c r="D703" s="27"/>
    </row>
    <row r="704" spans="1:4" x14ac:dyDescent="0.2">
      <c r="A704" s="32"/>
      <c r="B704" s="27"/>
      <c r="C704" s="33"/>
      <c r="D704" s="27"/>
    </row>
    <row r="705" spans="1:4" x14ac:dyDescent="0.2">
      <c r="A705" s="32"/>
      <c r="B705" s="27"/>
      <c r="C705" s="33"/>
      <c r="D705" s="27"/>
    </row>
    <row r="706" spans="1:4" x14ac:dyDescent="0.2">
      <c r="A706" s="32"/>
      <c r="B706" s="27"/>
      <c r="C706" s="33"/>
      <c r="D706" s="27"/>
    </row>
    <row r="707" spans="1:4" x14ac:dyDescent="0.2">
      <c r="A707" s="32"/>
      <c r="B707" s="27"/>
      <c r="C707" s="33"/>
      <c r="D707" s="27"/>
    </row>
    <row r="708" spans="1:4" x14ac:dyDescent="0.2">
      <c r="A708" s="32"/>
      <c r="B708" s="27"/>
      <c r="C708" s="33"/>
      <c r="D708" s="27"/>
    </row>
    <row r="709" spans="1:4" x14ac:dyDescent="0.2">
      <c r="A709" s="32"/>
      <c r="B709" s="27"/>
      <c r="C709" s="33"/>
      <c r="D709" s="27"/>
    </row>
    <row r="710" spans="1:4" x14ac:dyDescent="0.2">
      <c r="A710" s="32"/>
      <c r="B710" s="27"/>
      <c r="C710" s="33"/>
      <c r="D710" s="27"/>
    </row>
    <row r="711" spans="1:4" x14ac:dyDescent="0.2">
      <c r="A711" s="32"/>
      <c r="B711" s="27"/>
      <c r="C711" s="33"/>
      <c r="D711" s="27"/>
    </row>
    <row r="712" spans="1:4" x14ac:dyDescent="0.2">
      <c r="A712" s="32"/>
      <c r="B712" s="27"/>
      <c r="C712" s="33"/>
      <c r="D712" s="27"/>
    </row>
    <row r="713" spans="1:4" x14ac:dyDescent="0.2">
      <c r="A713" s="32"/>
      <c r="B713" s="27"/>
      <c r="C713" s="33"/>
      <c r="D713" s="27"/>
    </row>
    <row r="714" spans="1:4" x14ac:dyDescent="0.2">
      <c r="A714" s="32"/>
      <c r="B714" s="27"/>
      <c r="C714" s="33"/>
      <c r="D714" s="27"/>
    </row>
    <row r="715" spans="1:4" x14ac:dyDescent="0.2">
      <c r="A715" s="32"/>
      <c r="B715" s="27"/>
      <c r="C715" s="33"/>
      <c r="D715" s="27"/>
    </row>
    <row r="716" spans="1:4" x14ac:dyDescent="0.2">
      <c r="A716" s="32"/>
      <c r="B716" s="27"/>
      <c r="C716" s="33"/>
      <c r="D716" s="27"/>
    </row>
    <row r="717" spans="1:4" x14ac:dyDescent="0.2">
      <c r="A717" s="32"/>
      <c r="B717" s="27"/>
      <c r="C717" s="33"/>
      <c r="D717" s="27"/>
    </row>
    <row r="718" spans="1:4" x14ac:dyDescent="0.2">
      <c r="A718" s="32"/>
      <c r="B718" s="27"/>
      <c r="C718" s="33"/>
      <c r="D718" s="27"/>
    </row>
    <row r="719" spans="1:4" x14ac:dyDescent="0.2">
      <c r="A719" s="32"/>
      <c r="B719" s="27"/>
      <c r="C719" s="33"/>
      <c r="D719" s="27"/>
    </row>
    <row r="720" spans="1:4" x14ac:dyDescent="0.2">
      <c r="A720" s="32"/>
      <c r="B720" s="27"/>
      <c r="C720" s="33"/>
      <c r="D720" s="27"/>
    </row>
    <row r="721" spans="1:4" x14ac:dyDescent="0.2">
      <c r="A721" s="32"/>
      <c r="B721" s="27"/>
      <c r="C721" s="33"/>
      <c r="D721" s="27"/>
    </row>
    <row r="722" spans="1:4" x14ac:dyDescent="0.2">
      <c r="A722" s="32"/>
      <c r="B722" s="27"/>
      <c r="C722" s="33"/>
      <c r="D722" s="27"/>
    </row>
    <row r="723" spans="1:4" x14ac:dyDescent="0.2">
      <c r="A723" s="32"/>
      <c r="B723" s="27"/>
      <c r="C723" s="33"/>
      <c r="D723" s="27"/>
    </row>
    <row r="724" spans="1:4" x14ac:dyDescent="0.2">
      <c r="A724" s="32"/>
      <c r="B724" s="27"/>
      <c r="C724" s="33"/>
      <c r="D724" s="27"/>
    </row>
    <row r="725" spans="1:4" x14ac:dyDescent="0.2">
      <c r="A725" s="32"/>
      <c r="B725" s="27"/>
      <c r="C725" s="33"/>
      <c r="D725" s="27"/>
    </row>
    <row r="726" spans="1:4" x14ac:dyDescent="0.2">
      <c r="A726" s="32"/>
      <c r="B726" s="27"/>
      <c r="C726" s="33"/>
      <c r="D726" s="27"/>
    </row>
    <row r="727" spans="1:4" x14ac:dyDescent="0.2">
      <c r="A727" s="32"/>
      <c r="B727" s="27"/>
      <c r="C727" s="33"/>
      <c r="D727" s="27"/>
    </row>
    <row r="728" spans="1:4" x14ac:dyDescent="0.2">
      <c r="A728" s="32"/>
      <c r="B728" s="27"/>
      <c r="C728" s="33"/>
      <c r="D728" s="27"/>
    </row>
    <row r="729" spans="1:4" x14ac:dyDescent="0.2">
      <c r="A729" s="32"/>
      <c r="B729" s="27"/>
      <c r="C729" s="33"/>
      <c r="D729" s="27"/>
    </row>
    <row r="730" spans="1:4" x14ac:dyDescent="0.2">
      <c r="A730" s="32"/>
      <c r="B730" s="27"/>
      <c r="C730" s="33"/>
      <c r="D730" s="27"/>
    </row>
    <row r="731" spans="1:4" x14ac:dyDescent="0.2">
      <c r="A731" s="32"/>
      <c r="B731" s="27"/>
      <c r="C731" s="33"/>
      <c r="D731" s="27"/>
    </row>
    <row r="732" spans="1:4" x14ac:dyDescent="0.2">
      <c r="A732" s="32"/>
      <c r="B732" s="27"/>
      <c r="C732" s="33"/>
      <c r="D732" s="27"/>
    </row>
    <row r="733" spans="1:4" x14ac:dyDescent="0.2">
      <c r="A733" s="32"/>
      <c r="B733" s="27"/>
      <c r="C733" s="33"/>
      <c r="D733" s="27"/>
    </row>
    <row r="734" spans="1:4" x14ac:dyDescent="0.2">
      <c r="A734" s="32"/>
      <c r="B734" s="27"/>
      <c r="C734" s="33"/>
      <c r="D734" s="27"/>
    </row>
    <row r="735" spans="1:4" x14ac:dyDescent="0.2">
      <c r="A735" s="32"/>
      <c r="B735" s="27"/>
      <c r="C735" s="33"/>
      <c r="D735" s="27"/>
    </row>
    <row r="736" spans="1:4" x14ac:dyDescent="0.2">
      <c r="A736" s="32"/>
      <c r="B736" s="27"/>
      <c r="C736" s="33"/>
      <c r="D736" s="27"/>
    </row>
    <row r="737" spans="1:4" x14ac:dyDescent="0.2">
      <c r="A737" s="32"/>
      <c r="B737" s="27"/>
      <c r="C737" s="33"/>
      <c r="D737" s="27"/>
    </row>
    <row r="738" spans="1:4" x14ac:dyDescent="0.2">
      <c r="A738" s="32"/>
      <c r="B738" s="27"/>
      <c r="C738" s="33"/>
      <c r="D738" s="27"/>
    </row>
    <row r="739" spans="1:4" x14ac:dyDescent="0.2">
      <c r="A739" s="32"/>
      <c r="B739" s="27"/>
      <c r="C739" s="33"/>
      <c r="D739" s="27"/>
    </row>
    <row r="740" spans="1:4" x14ac:dyDescent="0.2">
      <c r="A740" s="32"/>
      <c r="B740" s="27"/>
      <c r="C740" s="33"/>
      <c r="D740" s="27"/>
    </row>
    <row r="741" spans="1:4" x14ac:dyDescent="0.2">
      <c r="A741" s="32"/>
      <c r="B741" s="27"/>
      <c r="C741" s="33"/>
      <c r="D741" s="27"/>
    </row>
    <row r="742" spans="1:4" x14ac:dyDescent="0.2">
      <c r="A742" s="32"/>
      <c r="B742" s="27"/>
      <c r="C742" s="33"/>
      <c r="D742" s="27"/>
    </row>
    <row r="743" spans="1:4" x14ac:dyDescent="0.2">
      <c r="A743" s="32"/>
      <c r="B743" s="27"/>
      <c r="C743" s="33"/>
      <c r="D743" s="27"/>
    </row>
    <row r="744" spans="1:4" x14ac:dyDescent="0.2">
      <c r="A744" s="32"/>
      <c r="B744" s="27"/>
      <c r="C744" s="33"/>
      <c r="D744" s="27"/>
    </row>
    <row r="745" spans="1:4" x14ac:dyDescent="0.2">
      <c r="A745" s="32"/>
      <c r="B745" s="27"/>
      <c r="C745" s="33"/>
      <c r="D745" s="27"/>
    </row>
    <row r="746" spans="1:4" x14ac:dyDescent="0.2">
      <c r="A746" s="32"/>
      <c r="B746" s="27"/>
      <c r="C746" s="33"/>
      <c r="D746" s="27"/>
    </row>
    <row r="747" spans="1:4" x14ac:dyDescent="0.2">
      <c r="A747" s="32"/>
      <c r="B747" s="27"/>
      <c r="C747" s="33"/>
      <c r="D747" s="27"/>
    </row>
    <row r="748" spans="1:4" x14ac:dyDescent="0.2">
      <c r="A748" s="32"/>
      <c r="B748" s="27"/>
      <c r="C748" s="33"/>
      <c r="D748" s="27"/>
    </row>
    <row r="749" spans="1:4" x14ac:dyDescent="0.2">
      <c r="A749" s="32"/>
      <c r="B749" s="27"/>
      <c r="C749" s="33"/>
      <c r="D749" s="27"/>
    </row>
    <row r="750" spans="1:4" x14ac:dyDescent="0.2">
      <c r="A750" s="32"/>
      <c r="B750" s="27"/>
      <c r="C750" s="33"/>
      <c r="D750" s="27"/>
    </row>
    <row r="751" spans="1:4" x14ac:dyDescent="0.2">
      <c r="A751" s="32"/>
      <c r="B751" s="27"/>
      <c r="C751" s="33"/>
      <c r="D751" s="27"/>
    </row>
    <row r="752" spans="1:4" x14ac:dyDescent="0.2">
      <c r="A752" s="32"/>
      <c r="B752" s="27"/>
      <c r="C752" s="33"/>
      <c r="D752" s="27"/>
    </row>
    <row r="753" spans="1:4" x14ac:dyDescent="0.2">
      <c r="A753" s="32"/>
      <c r="B753" s="27"/>
      <c r="C753" s="33"/>
      <c r="D753" s="27"/>
    </row>
    <row r="754" spans="1:4" x14ac:dyDescent="0.2">
      <c r="A754" s="32"/>
      <c r="B754" s="27"/>
      <c r="C754" s="33"/>
      <c r="D754" s="27"/>
    </row>
    <row r="755" spans="1:4" x14ac:dyDescent="0.2">
      <c r="A755" s="32"/>
      <c r="B755" s="27"/>
      <c r="C755" s="33"/>
      <c r="D755" s="27"/>
    </row>
    <row r="756" spans="1:4" x14ac:dyDescent="0.2">
      <c r="A756" s="32"/>
      <c r="B756" s="27"/>
      <c r="C756" s="33"/>
      <c r="D756" s="27"/>
    </row>
    <row r="757" spans="1:4" x14ac:dyDescent="0.2">
      <c r="A757" s="32"/>
      <c r="B757" s="27"/>
      <c r="C757" s="33"/>
      <c r="D757" s="27"/>
    </row>
    <row r="758" spans="1:4" x14ac:dyDescent="0.2">
      <c r="A758" s="32"/>
      <c r="B758" s="27"/>
      <c r="C758" s="33"/>
      <c r="D758" s="27"/>
    </row>
    <row r="759" spans="1:4" x14ac:dyDescent="0.2">
      <c r="A759" s="32"/>
      <c r="B759" s="27"/>
      <c r="C759" s="33"/>
      <c r="D759" s="27"/>
    </row>
    <row r="760" spans="1:4" x14ac:dyDescent="0.2">
      <c r="A760" s="32"/>
      <c r="B760" s="27"/>
      <c r="C760" s="33"/>
      <c r="D760" s="27"/>
    </row>
    <row r="761" spans="1:4" x14ac:dyDescent="0.2">
      <c r="A761" s="32"/>
      <c r="B761" s="27"/>
      <c r="C761" s="33"/>
      <c r="D761" s="27"/>
    </row>
    <row r="762" spans="1:4" x14ac:dyDescent="0.2">
      <c r="A762" s="32"/>
      <c r="B762" s="27"/>
      <c r="C762" s="33"/>
      <c r="D762" s="27"/>
    </row>
    <row r="763" spans="1:4" x14ac:dyDescent="0.2">
      <c r="A763" s="32"/>
      <c r="B763" s="27"/>
      <c r="C763" s="33"/>
      <c r="D763" s="27"/>
    </row>
    <row r="764" spans="1:4" x14ac:dyDescent="0.2">
      <c r="A764" s="32"/>
      <c r="B764" s="27"/>
      <c r="C764" s="33"/>
      <c r="D764" s="27"/>
    </row>
    <row r="765" spans="1:4" x14ac:dyDescent="0.2">
      <c r="A765" s="32"/>
      <c r="B765" s="27"/>
      <c r="C765" s="33"/>
      <c r="D765" s="27"/>
    </row>
    <row r="766" spans="1:4" x14ac:dyDescent="0.2">
      <c r="A766" s="32"/>
      <c r="B766" s="27"/>
      <c r="C766" s="33"/>
      <c r="D766" s="27"/>
    </row>
    <row r="767" spans="1:4" x14ac:dyDescent="0.2">
      <c r="A767" s="32"/>
      <c r="B767" s="27"/>
      <c r="C767" s="33"/>
      <c r="D767" s="27"/>
    </row>
    <row r="768" spans="1:4" x14ac:dyDescent="0.2">
      <c r="A768" s="32"/>
      <c r="B768" s="27"/>
      <c r="C768" s="33"/>
      <c r="D768" s="27"/>
    </row>
    <row r="769" spans="1:4" x14ac:dyDescent="0.2">
      <c r="A769" s="32"/>
      <c r="B769" s="27"/>
      <c r="C769" s="33"/>
      <c r="D769" s="27"/>
    </row>
    <row r="770" spans="1:4" x14ac:dyDescent="0.2">
      <c r="A770" s="32"/>
      <c r="B770" s="27"/>
      <c r="C770" s="33"/>
      <c r="D770" s="27"/>
    </row>
    <row r="771" spans="1:4" x14ac:dyDescent="0.2">
      <c r="A771" s="32"/>
      <c r="B771" s="27"/>
      <c r="C771" s="33"/>
      <c r="D771" s="27"/>
    </row>
    <row r="772" spans="1:4" x14ac:dyDescent="0.2">
      <c r="A772" s="32"/>
      <c r="B772" s="27"/>
      <c r="C772" s="33"/>
      <c r="D772" s="27"/>
    </row>
    <row r="773" spans="1:4" x14ac:dyDescent="0.2">
      <c r="A773" s="32"/>
      <c r="B773" s="27"/>
      <c r="C773" s="33"/>
      <c r="D773" s="27"/>
    </row>
    <row r="774" spans="1:4" x14ac:dyDescent="0.2">
      <c r="A774" s="32"/>
      <c r="B774" s="27"/>
      <c r="C774" s="33"/>
      <c r="D774" s="27"/>
    </row>
    <row r="775" spans="1:4" x14ac:dyDescent="0.2">
      <c r="A775" s="32"/>
      <c r="B775" s="27"/>
      <c r="C775" s="33"/>
      <c r="D775" s="27"/>
    </row>
    <row r="776" spans="1:4" x14ac:dyDescent="0.2">
      <c r="A776" s="32"/>
      <c r="B776" s="27"/>
      <c r="C776" s="33"/>
      <c r="D776" s="27"/>
    </row>
    <row r="777" spans="1:4" x14ac:dyDescent="0.2">
      <c r="A777" s="32"/>
      <c r="B777" s="27"/>
      <c r="C777" s="33"/>
      <c r="D777" s="27"/>
    </row>
    <row r="778" spans="1:4" x14ac:dyDescent="0.2">
      <c r="A778" s="32"/>
      <c r="B778" s="27"/>
      <c r="C778" s="33"/>
      <c r="D778" s="27"/>
    </row>
    <row r="779" spans="1:4" x14ac:dyDescent="0.2">
      <c r="A779" s="32"/>
      <c r="B779" s="27"/>
      <c r="C779" s="33"/>
      <c r="D779" s="27"/>
    </row>
    <row r="780" spans="1:4" x14ac:dyDescent="0.2">
      <c r="A780" s="32"/>
      <c r="B780" s="27"/>
      <c r="C780" s="33"/>
      <c r="D780" s="27"/>
    </row>
    <row r="781" spans="1:4" x14ac:dyDescent="0.2">
      <c r="A781" s="32"/>
      <c r="B781" s="27"/>
      <c r="C781" s="33"/>
      <c r="D781" s="27"/>
    </row>
    <row r="782" spans="1:4" x14ac:dyDescent="0.2">
      <c r="A782" s="32"/>
      <c r="B782" s="27"/>
      <c r="C782" s="33"/>
      <c r="D782" s="27"/>
    </row>
    <row r="783" spans="1:4" x14ac:dyDescent="0.2">
      <c r="A783" s="32"/>
      <c r="B783" s="27"/>
      <c r="C783" s="33"/>
      <c r="D783" s="27"/>
    </row>
    <row r="784" spans="1:4" x14ac:dyDescent="0.2">
      <c r="A784" s="32"/>
      <c r="B784" s="27"/>
      <c r="C784" s="33"/>
      <c r="D784" s="27"/>
    </row>
    <row r="785" spans="1:4" x14ac:dyDescent="0.2">
      <c r="A785" s="32"/>
      <c r="B785" s="27"/>
      <c r="C785" s="33"/>
      <c r="D785" s="27"/>
    </row>
    <row r="786" spans="1:4" x14ac:dyDescent="0.2">
      <c r="A786" s="32"/>
      <c r="B786" s="27"/>
      <c r="C786" s="33"/>
      <c r="D786" s="27"/>
    </row>
    <row r="787" spans="1:4" x14ac:dyDescent="0.2">
      <c r="A787" s="32"/>
      <c r="B787" s="27"/>
      <c r="C787" s="33"/>
      <c r="D787" s="27"/>
    </row>
    <row r="788" spans="1:4" x14ac:dyDescent="0.2">
      <c r="A788" s="32"/>
      <c r="B788" s="27"/>
      <c r="C788" s="33"/>
      <c r="D788" s="27"/>
    </row>
    <row r="789" spans="1:4" x14ac:dyDescent="0.2">
      <c r="A789" s="32"/>
      <c r="B789" s="27"/>
      <c r="C789" s="33"/>
      <c r="D789" s="27"/>
    </row>
    <row r="790" spans="1:4" x14ac:dyDescent="0.2">
      <c r="A790" s="32"/>
      <c r="B790" s="27"/>
      <c r="C790" s="33"/>
      <c r="D790" s="27"/>
    </row>
    <row r="791" spans="1:4" x14ac:dyDescent="0.2">
      <c r="A791" s="32"/>
      <c r="B791" s="27"/>
      <c r="C791" s="33"/>
      <c r="D791" s="27"/>
    </row>
    <row r="792" spans="1:4" x14ac:dyDescent="0.2">
      <c r="A792" s="32"/>
      <c r="B792" s="27"/>
      <c r="C792" s="33"/>
      <c r="D792" s="27"/>
    </row>
    <row r="793" spans="1:4" x14ac:dyDescent="0.2">
      <c r="A793" s="32"/>
      <c r="B793" s="27"/>
      <c r="C793" s="33"/>
      <c r="D793" s="27"/>
    </row>
    <row r="794" spans="1:4" x14ac:dyDescent="0.2">
      <c r="A794" s="32"/>
      <c r="B794" s="27"/>
      <c r="C794" s="33"/>
      <c r="D794" s="27"/>
    </row>
    <row r="795" spans="1:4" x14ac:dyDescent="0.2">
      <c r="A795" s="32"/>
      <c r="B795" s="27"/>
      <c r="C795" s="33"/>
      <c r="D795" s="27"/>
    </row>
    <row r="796" spans="1:4" x14ac:dyDescent="0.2">
      <c r="A796" s="32"/>
      <c r="B796" s="27"/>
      <c r="C796" s="33"/>
      <c r="D796" s="27"/>
    </row>
    <row r="797" spans="1:4" x14ac:dyDescent="0.2">
      <c r="A797" s="32"/>
      <c r="B797" s="27"/>
      <c r="C797" s="33"/>
      <c r="D797" s="27"/>
    </row>
    <row r="798" spans="1:4" x14ac:dyDescent="0.2">
      <c r="A798" s="32"/>
      <c r="B798" s="27"/>
      <c r="C798" s="33"/>
      <c r="D798" s="27"/>
    </row>
    <row r="799" spans="1:4" x14ac:dyDescent="0.2">
      <c r="A799" s="32"/>
      <c r="B799" s="27"/>
      <c r="C799" s="33"/>
      <c r="D799" s="27"/>
    </row>
    <row r="800" spans="1:4" x14ac:dyDescent="0.2">
      <c r="A800" s="32"/>
      <c r="B800" s="27"/>
      <c r="C800" s="33"/>
      <c r="D800" s="27"/>
    </row>
    <row r="801" spans="1:4" x14ac:dyDescent="0.2">
      <c r="A801" s="32"/>
      <c r="B801" s="27"/>
      <c r="C801" s="33"/>
      <c r="D801" s="27"/>
    </row>
    <row r="802" spans="1:4" x14ac:dyDescent="0.2">
      <c r="A802" s="32"/>
      <c r="B802" s="27"/>
      <c r="C802" s="33"/>
      <c r="D802" s="27"/>
    </row>
    <row r="803" spans="1:4" x14ac:dyDescent="0.2">
      <c r="A803" s="32"/>
      <c r="B803" s="27"/>
      <c r="C803" s="33"/>
      <c r="D803" s="27"/>
    </row>
    <row r="804" spans="1:4" x14ac:dyDescent="0.2">
      <c r="A804" s="32"/>
      <c r="B804" s="27"/>
      <c r="C804" s="33"/>
      <c r="D804" s="27"/>
    </row>
    <row r="805" spans="1:4" x14ac:dyDescent="0.2">
      <c r="A805" s="32"/>
      <c r="B805" s="27"/>
      <c r="C805" s="33"/>
      <c r="D805" s="27"/>
    </row>
    <row r="806" spans="1:4" x14ac:dyDescent="0.2">
      <c r="A806" s="32"/>
      <c r="B806" s="27"/>
      <c r="C806" s="33"/>
      <c r="D806" s="27"/>
    </row>
    <row r="807" spans="1:4" x14ac:dyDescent="0.2">
      <c r="A807" s="32"/>
      <c r="B807" s="27"/>
      <c r="C807" s="33"/>
      <c r="D807" s="27"/>
    </row>
    <row r="808" spans="1:4" x14ac:dyDescent="0.2">
      <c r="A808" s="32"/>
      <c r="B808" s="27"/>
      <c r="C808" s="33"/>
      <c r="D808" s="27"/>
    </row>
    <row r="809" spans="1:4" x14ac:dyDescent="0.2">
      <c r="A809" s="32"/>
      <c r="B809" s="27"/>
      <c r="C809" s="33"/>
      <c r="D809" s="27"/>
    </row>
    <row r="810" spans="1:4" x14ac:dyDescent="0.2">
      <c r="A810" s="32"/>
      <c r="B810" s="27"/>
      <c r="C810" s="33"/>
      <c r="D810" s="27"/>
    </row>
    <row r="811" spans="1:4" x14ac:dyDescent="0.2">
      <c r="A811" s="32"/>
      <c r="B811" s="27"/>
      <c r="C811" s="33"/>
      <c r="D811" s="27"/>
    </row>
    <row r="812" spans="1:4" x14ac:dyDescent="0.2">
      <c r="A812" s="32"/>
      <c r="B812" s="27"/>
      <c r="C812" s="33"/>
      <c r="D812" s="27"/>
    </row>
    <row r="813" spans="1:4" x14ac:dyDescent="0.2">
      <c r="A813" s="32"/>
      <c r="B813" s="27"/>
      <c r="C813" s="33"/>
      <c r="D813" s="27"/>
    </row>
    <row r="814" spans="1:4" x14ac:dyDescent="0.2">
      <c r="A814" s="32"/>
      <c r="B814" s="27"/>
      <c r="C814" s="33"/>
      <c r="D814" s="27"/>
    </row>
    <row r="815" spans="1:4" x14ac:dyDescent="0.2">
      <c r="A815" s="32"/>
      <c r="B815" s="27"/>
      <c r="C815" s="33"/>
      <c r="D815" s="27"/>
    </row>
    <row r="816" spans="1:4" x14ac:dyDescent="0.2">
      <c r="A816" s="32"/>
      <c r="B816" s="27"/>
      <c r="C816" s="33"/>
      <c r="D816" s="27"/>
    </row>
    <row r="817" spans="1:4" x14ac:dyDescent="0.2">
      <c r="A817" s="32"/>
      <c r="B817" s="27"/>
      <c r="C817" s="33"/>
      <c r="D817" s="27"/>
    </row>
    <row r="818" spans="1:4" x14ac:dyDescent="0.2">
      <c r="A818" s="32"/>
      <c r="B818" s="27"/>
      <c r="C818" s="33"/>
      <c r="D818" s="27"/>
    </row>
    <row r="819" spans="1:4" x14ac:dyDescent="0.2">
      <c r="A819" s="32"/>
      <c r="B819" s="27"/>
      <c r="C819" s="33"/>
      <c r="D819" s="27"/>
    </row>
    <row r="820" spans="1:4" x14ac:dyDescent="0.2">
      <c r="A820" s="32"/>
      <c r="B820" s="27"/>
      <c r="C820" s="33"/>
      <c r="D820" s="27"/>
    </row>
    <row r="821" spans="1:4" x14ac:dyDescent="0.2">
      <c r="A821" s="32"/>
      <c r="B821" s="27"/>
      <c r="C821" s="33"/>
      <c r="D821" s="27"/>
    </row>
    <row r="822" spans="1:4" x14ac:dyDescent="0.2">
      <c r="A822" s="32"/>
      <c r="B822" s="27"/>
      <c r="C822" s="33"/>
      <c r="D822" s="27"/>
    </row>
    <row r="823" spans="1:4" x14ac:dyDescent="0.2">
      <c r="A823" s="32"/>
      <c r="B823" s="27"/>
      <c r="C823" s="33"/>
      <c r="D823" s="27"/>
    </row>
    <row r="824" spans="1:4" x14ac:dyDescent="0.2">
      <c r="A824" s="32"/>
      <c r="B824" s="27"/>
      <c r="C824" s="33"/>
      <c r="D824" s="27"/>
    </row>
    <row r="825" spans="1:4" x14ac:dyDescent="0.2">
      <c r="A825" s="32"/>
      <c r="B825" s="27"/>
      <c r="C825" s="33"/>
      <c r="D825" s="27"/>
    </row>
    <row r="826" spans="1:4" x14ac:dyDescent="0.2">
      <c r="A826" s="32"/>
      <c r="B826" s="27"/>
      <c r="C826" s="33"/>
      <c r="D826" s="27"/>
    </row>
    <row r="827" spans="1:4" x14ac:dyDescent="0.2">
      <c r="A827" s="32"/>
      <c r="B827" s="27"/>
      <c r="C827" s="33"/>
      <c r="D827" s="27"/>
    </row>
    <row r="828" spans="1:4" x14ac:dyDescent="0.2">
      <c r="A828" s="32"/>
      <c r="B828" s="27"/>
      <c r="C828" s="33"/>
      <c r="D828" s="27"/>
    </row>
    <row r="829" spans="1:4" x14ac:dyDescent="0.2">
      <c r="A829" s="32"/>
      <c r="B829" s="27"/>
      <c r="C829" s="33"/>
      <c r="D829" s="27"/>
    </row>
    <row r="830" spans="1:4" x14ac:dyDescent="0.2">
      <c r="A830" s="32"/>
      <c r="B830" s="27"/>
      <c r="C830" s="33"/>
      <c r="D830" s="27"/>
    </row>
    <row r="831" spans="1:4" x14ac:dyDescent="0.2">
      <c r="A831" s="32"/>
      <c r="B831" s="27"/>
      <c r="C831" s="33"/>
      <c r="D831" s="27"/>
    </row>
    <row r="832" spans="1:4" x14ac:dyDescent="0.2">
      <c r="A832" s="32"/>
      <c r="B832" s="27"/>
      <c r="C832" s="33"/>
      <c r="D832" s="27"/>
    </row>
    <row r="833" spans="1:4" x14ac:dyDescent="0.2">
      <c r="A833" s="32"/>
      <c r="B833" s="27"/>
      <c r="C833" s="33"/>
      <c r="D833" s="27"/>
    </row>
    <row r="834" spans="1:4" x14ac:dyDescent="0.2">
      <c r="A834" s="32"/>
      <c r="B834" s="27"/>
      <c r="C834" s="33"/>
      <c r="D834" s="27"/>
    </row>
    <row r="835" spans="1:4" x14ac:dyDescent="0.2">
      <c r="A835" s="32"/>
      <c r="B835" s="27"/>
      <c r="C835" s="33"/>
      <c r="D835" s="27"/>
    </row>
    <row r="836" spans="1:4" x14ac:dyDescent="0.2">
      <c r="A836" s="32"/>
      <c r="B836" s="27"/>
      <c r="C836" s="33"/>
      <c r="D836" s="27"/>
    </row>
    <row r="837" spans="1:4" x14ac:dyDescent="0.2">
      <c r="A837" s="32"/>
      <c r="B837" s="27"/>
      <c r="C837" s="33"/>
      <c r="D837" s="27"/>
    </row>
    <row r="838" spans="1:4" x14ac:dyDescent="0.2">
      <c r="A838" s="32"/>
      <c r="B838" s="27"/>
      <c r="C838" s="33"/>
      <c r="D838" s="27"/>
    </row>
    <row r="839" spans="1:4" x14ac:dyDescent="0.2">
      <c r="A839" s="32"/>
      <c r="B839" s="27"/>
      <c r="C839" s="33"/>
      <c r="D839" s="27"/>
    </row>
    <row r="840" spans="1:4" x14ac:dyDescent="0.2">
      <c r="A840" s="32"/>
      <c r="B840" s="27"/>
      <c r="C840" s="33"/>
      <c r="D840" s="27"/>
    </row>
    <row r="841" spans="1:4" x14ac:dyDescent="0.2">
      <c r="A841" s="32"/>
      <c r="B841" s="27"/>
      <c r="C841" s="33"/>
      <c r="D841" s="27"/>
    </row>
    <row r="842" spans="1:4" x14ac:dyDescent="0.2">
      <c r="A842" s="32"/>
      <c r="B842" s="27"/>
      <c r="C842" s="33"/>
      <c r="D842" s="27"/>
    </row>
    <row r="843" spans="1:4" x14ac:dyDescent="0.2">
      <c r="A843" s="32"/>
      <c r="B843" s="27"/>
      <c r="C843" s="33"/>
      <c r="D843" s="27"/>
    </row>
    <row r="844" spans="1:4" x14ac:dyDescent="0.2">
      <c r="A844" s="32"/>
      <c r="B844" s="27"/>
      <c r="C844" s="33"/>
      <c r="D844" s="27"/>
    </row>
    <row r="845" spans="1:4" x14ac:dyDescent="0.2">
      <c r="A845" s="32"/>
      <c r="B845" s="27"/>
      <c r="C845" s="33"/>
      <c r="D845" s="27"/>
    </row>
    <row r="846" spans="1:4" x14ac:dyDescent="0.2">
      <c r="A846" s="32"/>
      <c r="B846" s="27"/>
      <c r="C846" s="33"/>
      <c r="D846" s="27"/>
    </row>
    <row r="847" spans="1:4" x14ac:dyDescent="0.2">
      <c r="A847" s="32"/>
      <c r="B847" s="27"/>
      <c r="C847" s="33"/>
      <c r="D847" s="27"/>
    </row>
    <row r="848" spans="1:4" x14ac:dyDescent="0.2">
      <c r="A848" s="32"/>
      <c r="B848" s="27"/>
      <c r="C848" s="33"/>
      <c r="D848" s="27"/>
    </row>
    <row r="849" spans="1:4" x14ac:dyDescent="0.2">
      <c r="A849" s="32"/>
      <c r="B849" s="27"/>
      <c r="C849" s="33"/>
      <c r="D849" s="27"/>
    </row>
    <row r="850" spans="1:4" x14ac:dyDescent="0.2">
      <c r="A850" s="32"/>
      <c r="B850" s="27"/>
      <c r="C850" s="33"/>
      <c r="D850" s="27"/>
    </row>
    <row r="851" spans="1:4" x14ac:dyDescent="0.2">
      <c r="A851" s="32"/>
      <c r="B851" s="27"/>
      <c r="C851" s="33"/>
      <c r="D851" s="27"/>
    </row>
    <row r="852" spans="1:4" x14ac:dyDescent="0.2">
      <c r="A852" s="32"/>
      <c r="B852" s="27"/>
      <c r="C852" s="33"/>
      <c r="D852" s="27"/>
    </row>
    <row r="853" spans="1:4" x14ac:dyDescent="0.2">
      <c r="A853" s="32"/>
      <c r="B853" s="27"/>
      <c r="C853" s="33"/>
      <c r="D853" s="27"/>
    </row>
    <row r="854" spans="1:4" x14ac:dyDescent="0.2">
      <c r="A854" s="32"/>
      <c r="B854" s="27"/>
      <c r="C854" s="33"/>
      <c r="D854" s="27"/>
    </row>
    <row r="855" spans="1:4" x14ac:dyDescent="0.2">
      <c r="A855" s="32"/>
      <c r="B855" s="27"/>
      <c r="C855" s="33"/>
      <c r="D855" s="27"/>
    </row>
    <row r="856" spans="1:4" x14ac:dyDescent="0.2">
      <c r="A856" s="32"/>
      <c r="B856" s="27"/>
      <c r="C856" s="33"/>
      <c r="D856" s="27"/>
    </row>
    <row r="857" spans="1:4" x14ac:dyDescent="0.2">
      <c r="A857" s="32"/>
      <c r="B857" s="27"/>
      <c r="C857" s="33"/>
      <c r="D857" s="27"/>
    </row>
    <row r="858" spans="1:4" x14ac:dyDescent="0.2">
      <c r="A858" s="32"/>
      <c r="B858" s="27"/>
      <c r="C858" s="33"/>
      <c r="D858" s="27"/>
    </row>
    <row r="859" spans="1:4" x14ac:dyDescent="0.2">
      <c r="A859" s="32"/>
      <c r="B859" s="27"/>
      <c r="C859" s="33"/>
      <c r="D859" s="27"/>
    </row>
    <row r="860" spans="1:4" x14ac:dyDescent="0.2">
      <c r="A860" s="32"/>
      <c r="B860" s="27"/>
      <c r="C860" s="33"/>
      <c r="D860" s="27"/>
    </row>
    <row r="861" spans="1:4" x14ac:dyDescent="0.2">
      <c r="A861" s="32"/>
      <c r="B861" s="27"/>
      <c r="C861" s="33"/>
      <c r="D861" s="27"/>
    </row>
    <row r="862" spans="1:4" x14ac:dyDescent="0.2">
      <c r="A862" s="32"/>
      <c r="B862" s="27"/>
      <c r="C862" s="33"/>
      <c r="D862" s="27"/>
    </row>
    <row r="863" spans="1:4" x14ac:dyDescent="0.2">
      <c r="A863" s="32"/>
      <c r="B863" s="27"/>
      <c r="C863" s="33"/>
      <c r="D863" s="27"/>
    </row>
    <row r="864" spans="1:4" x14ac:dyDescent="0.2">
      <c r="A864" s="32"/>
      <c r="B864" s="27"/>
      <c r="C864" s="33"/>
      <c r="D864" s="27"/>
    </row>
    <row r="865" spans="1:4" x14ac:dyDescent="0.2">
      <c r="A865" s="32"/>
      <c r="B865" s="27"/>
      <c r="C865" s="33"/>
      <c r="D865" s="27"/>
    </row>
    <row r="866" spans="1:4" x14ac:dyDescent="0.2">
      <c r="A866" s="32"/>
      <c r="B866" s="27"/>
      <c r="C866" s="33"/>
      <c r="D866" s="27"/>
    </row>
    <row r="867" spans="1:4" x14ac:dyDescent="0.2">
      <c r="A867" s="32"/>
      <c r="B867" s="27"/>
      <c r="C867" s="33"/>
      <c r="D867" s="27"/>
    </row>
    <row r="868" spans="1:4" x14ac:dyDescent="0.2">
      <c r="A868" s="32"/>
      <c r="B868" s="27"/>
      <c r="C868" s="33"/>
      <c r="D868" s="27"/>
    </row>
    <row r="869" spans="1:4" x14ac:dyDescent="0.2">
      <c r="A869" s="32"/>
      <c r="B869" s="27"/>
      <c r="C869" s="33"/>
      <c r="D869" s="27"/>
    </row>
    <row r="870" spans="1:4" x14ac:dyDescent="0.2">
      <c r="A870" s="32"/>
      <c r="B870" s="27"/>
      <c r="C870" s="33"/>
      <c r="D870" s="27"/>
    </row>
    <row r="871" spans="1:4" x14ac:dyDescent="0.2">
      <c r="A871" s="32"/>
      <c r="B871" s="27"/>
      <c r="C871" s="33"/>
      <c r="D871" s="27"/>
    </row>
    <row r="872" spans="1:4" x14ac:dyDescent="0.2">
      <c r="A872" s="32"/>
      <c r="B872" s="27"/>
      <c r="C872" s="33"/>
      <c r="D872" s="27"/>
    </row>
    <row r="873" spans="1:4" x14ac:dyDescent="0.2">
      <c r="A873" s="32"/>
      <c r="B873" s="27"/>
      <c r="C873" s="33"/>
      <c r="D873" s="27"/>
    </row>
    <row r="874" spans="1:4" x14ac:dyDescent="0.2">
      <c r="A874" s="32"/>
      <c r="B874" s="27"/>
      <c r="C874" s="33"/>
      <c r="D874" s="27"/>
    </row>
    <row r="875" spans="1:4" x14ac:dyDescent="0.2">
      <c r="A875" s="32"/>
      <c r="B875" s="27"/>
      <c r="C875" s="33"/>
      <c r="D875" s="27"/>
    </row>
    <row r="876" spans="1:4" x14ac:dyDescent="0.2">
      <c r="A876" s="32"/>
      <c r="B876" s="27"/>
      <c r="C876" s="33"/>
      <c r="D876" s="27"/>
    </row>
    <row r="877" spans="1:4" x14ac:dyDescent="0.2">
      <c r="A877" s="32"/>
      <c r="B877" s="27"/>
      <c r="C877" s="33"/>
      <c r="D877" s="27"/>
    </row>
    <row r="878" spans="1:4" x14ac:dyDescent="0.2">
      <c r="A878" s="32"/>
      <c r="B878" s="27"/>
      <c r="C878" s="33"/>
      <c r="D878" s="27"/>
    </row>
    <row r="879" spans="1:4" x14ac:dyDescent="0.2">
      <c r="A879" s="32"/>
      <c r="B879" s="27"/>
      <c r="C879" s="33"/>
      <c r="D879" s="27"/>
    </row>
    <row r="880" spans="1:4" x14ac:dyDescent="0.2">
      <c r="A880" s="32"/>
      <c r="B880" s="27"/>
      <c r="C880" s="33"/>
      <c r="D880" s="27"/>
    </row>
    <row r="881" spans="1:4" x14ac:dyDescent="0.2">
      <c r="A881" s="32"/>
      <c r="B881" s="27"/>
      <c r="C881" s="33"/>
      <c r="D881" s="27"/>
    </row>
    <row r="882" spans="1:4" x14ac:dyDescent="0.2">
      <c r="A882" s="32"/>
      <c r="B882" s="27"/>
      <c r="C882" s="33"/>
      <c r="D882" s="27"/>
    </row>
    <row r="883" spans="1:4" x14ac:dyDescent="0.2">
      <c r="A883" s="32"/>
      <c r="B883" s="27"/>
      <c r="C883" s="33"/>
      <c r="D883" s="27"/>
    </row>
    <row r="884" spans="1:4" x14ac:dyDescent="0.2">
      <c r="A884" s="32"/>
      <c r="B884" s="27"/>
      <c r="C884" s="33"/>
      <c r="D884" s="27"/>
    </row>
    <row r="885" spans="1:4" x14ac:dyDescent="0.2">
      <c r="A885" s="32"/>
      <c r="B885" s="27"/>
      <c r="C885" s="33"/>
      <c r="D885" s="27"/>
    </row>
    <row r="886" spans="1:4" x14ac:dyDescent="0.2">
      <c r="A886" s="32"/>
      <c r="B886" s="27"/>
      <c r="C886" s="33"/>
      <c r="D886" s="27"/>
    </row>
    <row r="887" spans="1:4" x14ac:dyDescent="0.2">
      <c r="A887" s="32"/>
      <c r="B887" s="27"/>
      <c r="C887" s="33"/>
      <c r="D887" s="27"/>
    </row>
    <row r="888" spans="1:4" x14ac:dyDescent="0.2">
      <c r="A888" s="32"/>
      <c r="B888" s="27"/>
      <c r="C888" s="33"/>
      <c r="D888" s="27"/>
    </row>
    <row r="889" spans="1:4" x14ac:dyDescent="0.2">
      <c r="A889" s="32"/>
      <c r="B889" s="27"/>
      <c r="C889" s="33"/>
      <c r="D889" s="27"/>
    </row>
    <row r="890" spans="1:4" x14ac:dyDescent="0.2">
      <c r="A890" s="32"/>
      <c r="B890" s="27"/>
      <c r="C890" s="33"/>
      <c r="D890" s="27"/>
    </row>
    <row r="891" spans="1:4" x14ac:dyDescent="0.2">
      <c r="A891" s="32"/>
      <c r="B891" s="27"/>
      <c r="C891" s="33"/>
      <c r="D891" s="27"/>
    </row>
    <row r="892" spans="1:4" x14ac:dyDescent="0.2">
      <c r="A892" s="32"/>
      <c r="B892" s="27"/>
      <c r="C892" s="33"/>
      <c r="D892" s="27"/>
    </row>
    <row r="893" spans="1:4" x14ac:dyDescent="0.2">
      <c r="A893" s="32"/>
      <c r="B893" s="27"/>
      <c r="C893" s="33"/>
      <c r="D893" s="27"/>
    </row>
    <row r="894" spans="1:4" x14ac:dyDescent="0.2">
      <c r="A894" s="32"/>
      <c r="B894" s="27"/>
      <c r="C894" s="33"/>
      <c r="D894" s="27"/>
    </row>
    <row r="895" spans="1:4" x14ac:dyDescent="0.2">
      <c r="A895" s="32"/>
      <c r="B895" s="27"/>
      <c r="C895" s="33"/>
      <c r="D895" s="27"/>
    </row>
    <row r="896" spans="1:4" x14ac:dyDescent="0.2">
      <c r="A896" s="32"/>
      <c r="B896" s="27"/>
      <c r="C896" s="33"/>
      <c r="D896" s="27"/>
    </row>
    <row r="897" spans="1:4" x14ac:dyDescent="0.2">
      <c r="A897" s="32"/>
      <c r="B897" s="27"/>
      <c r="C897" s="33"/>
      <c r="D897" s="27"/>
    </row>
    <row r="898" spans="1:4" x14ac:dyDescent="0.2">
      <c r="A898" s="32"/>
      <c r="B898" s="27"/>
      <c r="C898" s="33"/>
      <c r="D898" s="27"/>
    </row>
    <row r="899" spans="1:4" x14ac:dyDescent="0.2">
      <c r="A899" s="32"/>
      <c r="B899" s="27"/>
      <c r="C899" s="33"/>
      <c r="D899" s="27"/>
    </row>
    <row r="900" spans="1:4" x14ac:dyDescent="0.2">
      <c r="A900" s="32"/>
      <c r="B900" s="27"/>
      <c r="C900" s="33"/>
      <c r="D900" s="27"/>
    </row>
    <row r="901" spans="1:4" x14ac:dyDescent="0.2">
      <c r="A901" s="32"/>
      <c r="B901" s="27"/>
      <c r="C901" s="33"/>
      <c r="D901" s="27"/>
    </row>
    <row r="902" spans="1:4" x14ac:dyDescent="0.2">
      <c r="A902" s="32"/>
      <c r="B902" s="27"/>
      <c r="C902" s="33"/>
      <c r="D902" s="27"/>
    </row>
    <row r="903" spans="1:4" x14ac:dyDescent="0.2">
      <c r="A903" s="32"/>
      <c r="B903" s="27"/>
      <c r="C903" s="33"/>
      <c r="D903" s="27"/>
    </row>
    <row r="904" spans="1:4" x14ac:dyDescent="0.2">
      <c r="A904" s="32"/>
      <c r="B904" s="27"/>
      <c r="C904" s="33"/>
      <c r="D904" s="27"/>
    </row>
    <row r="905" spans="1:4" x14ac:dyDescent="0.2">
      <c r="A905" s="32"/>
      <c r="B905" s="27"/>
      <c r="C905" s="33"/>
      <c r="D905" s="27"/>
    </row>
    <row r="906" spans="1:4" x14ac:dyDescent="0.2">
      <c r="A906" s="32"/>
      <c r="B906" s="27"/>
      <c r="C906" s="33"/>
      <c r="D906" s="27"/>
    </row>
    <row r="907" spans="1:4" x14ac:dyDescent="0.2">
      <c r="A907" s="32"/>
      <c r="B907" s="27"/>
      <c r="C907" s="33"/>
      <c r="D907" s="27"/>
    </row>
    <row r="908" spans="1:4" x14ac:dyDescent="0.2">
      <c r="A908" s="32"/>
      <c r="B908" s="27"/>
      <c r="C908" s="33"/>
      <c r="D908" s="27"/>
    </row>
    <row r="909" spans="1:4" x14ac:dyDescent="0.2">
      <c r="A909" s="32"/>
      <c r="B909" s="27"/>
      <c r="C909" s="33"/>
      <c r="D909" s="27"/>
    </row>
    <row r="910" spans="1:4" x14ac:dyDescent="0.2">
      <c r="A910" s="32"/>
      <c r="B910" s="27"/>
      <c r="C910" s="33"/>
      <c r="D910" s="27"/>
    </row>
    <row r="911" spans="1:4" x14ac:dyDescent="0.2">
      <c r="A911" s="32"/>
      <c r="B911" s="27"/>
      <c r="C911" s="33"/>
      <c r="D911" s="27"/>
    </row>
    <row r="912" spans="1:4" x14ac:dyDescent="0.2">
      <c r="A912" s="32"/>
      <c r="B912" s="27"/>
      <c r="C912" s="33"/>
      <c r="D912" s="27"/>
    </row>
    <row r="913" spans="1:4" x14ac:dyDescent="0.2">
      <c r="A913" s="32"/>
      <c r="B913" s="27"/>
      <c r="C913" s="33"/>
      <c r="D913" s="27"/>
    </row>
    <row r="914" spans="1:4" x14ac:dyDescent="0.2">
      <c r="A914" s="32"/>
      <c r="B914" s="27"/>
      <c r="C914" s="33"/>
      <c r="D914" s="27"/>
    </row>
    <row r="915" spans="1:4" x14ac:dyDescent="0.2">
      <c r="A915" s="32"/>
      <c r="B915" s="27"/>
      <c r="C915" s="33"/>
      <c r="D915" s="27"/>
    </row>
    <row r="916" spans="1:4" x14ac:dyDescent="0.2">
      <c r="A916" s="32"/>
      <c r="B916" s="27"/>
      <c r="C916" s="33"/>
      <c r="D916" s="27"/>
    </row>
    <row r="917" spans="1:4" x14ac:dyDescent="0.2">
      <c r="A917" s="32"/>
      <c r="B917" s="27"/>
      <c r="C917" s="33"/>
      <c r="D917" s="27"/>
    </row>
    <row r="918" spans="1:4" x14ac:dyDescent="0.2">
      <c r="A918" s="32"/>
      <c r="B918" s="27"/>
      <c r="C918" s="33"/>
      <c r="D918" s="27"/>
    </row>
    <row r="919" spans="1:4" x14ac:dyDescent="0.2">
      <c r="A919" s="32"/>
      <c r="B919" s="27"/>
      <c r="C919" s="33"/>
      <c r="D919" s="27"/>
    </row>
    <row r="920" spans="1:4" x14ac:dyDescent="0.2">
      <c r="A920" s="32"/>
      <c r="B920" s="27"/>
      <c r="C920" s="33"/>
      <c r="D920" s="27"/>
    </row>
    <row r="921" spans="1:4" x14ac:dyDescent="0.2">
      <c r="A921" s="32"/>
      <c r="B921" s="27"/>
      <c r="C921" s="33"/>
      <c r="D921" s="27"/>
    </row>
    <row r="922" spans="1:4" x14ac:dyDescent="0.2">
      <c r="A922" s="32"/>
      <c r="B922" s="27"/>
      <c r="C922" s="33"/>
      <c r="D922" s="27"/>
    </row>
    <row r="923" spans="1:4" x14ac:dyDescent="0.2">
      <c r="A923" s="32"/>
      <c r="B923" s="27"/>
      <c r="C923" s="33"/>
      <c r="D923" s="27"/>
    </row>
    <row r="924" spans="1:4" x14ac:dyDescent="0.2">
      <c r="A924" s="32"/>
      <c r="B924" s="27"/>
      <c r="C924" s="33"/>
      <c r="D924" s="27"/>
    </row>
    <row r="925" spans="1:4" x14ac:dyDescent="0.2">
      <c r="A925" s="32"/>
      <c r="B925" s="27"/>
      <c r="C925" s="33"/>
      <c r="D925" s="27"/>
    </row>
    <row r="926" spans="1:4" x14ac:dyDescent="0.2">
      <c r="A926" s="32"/>
      <c r="B926" s="27"/>
      <c r="C926" s="33"/>
      <c r="D926" s="27"/>
    </row>
    <row r="927" spans="1:4" x14ac:dyDescent="0.2">
      <c r="A927" s="32"/>
      <c r="B927" s="27"/>
      <c r="C927" s="33"/>
      <c r="D927" s="27"/>
    </row>
    <row r="928" spans="1:4" x14ac:dyDescent="0.2">
      <c r="A928" s="32"/>
      <c r="B928" s="27"/>
      <c r="C928" s="33"/>
      <c r="D928" s="27"/>
    </row>
    <row r="929" spans="1:4" x14ac:dyDescent="0.2">
      <c r="A929" s="32"/>
      <c r="B929" s="27"/>
      <c r="C929" s="33"/>
      <c r="D929" s="27"/>
    </row>
    <row r="930" spans="1:4" x14ac:dyDescent="0.2">
      <c r="A930" s="32"/>
      <c r="B930" s="27"/>
      <c r="C930" s="33"/>
      <c r="D930" s="27"/>
    </row>
    <row r="931" spans="1:4" x14ac:dyDescent="0.2">
      <c r="A931" s="32"/>
      <c r="B931" s="27"/>
      <c r="C931" s="33"/>
      <c r="D931" s="27"/>
    </row>
    <row r="932" spans="1:4" x14ac:dyDescent="0.2">
      <c r="A932" s="32"/>
      <c r="B932" s="27"/>
      <c r="C932" s="33"/>
      <c r="D932" s="27"/>
    </row>
    <row r="933" spans="1:4" x14ac:dyDescent="0.2">
      <c r="A933" s="32"/>
      <c r="B933" s="27"/>
      <c r="C933" s="33"/>
      <c r="D933" s="27"/>
    </row>
    <row r="934" spans="1:4" x14ac:dyDescent="0.2">
      <c r="A934" s="32"/>
      <c r="B934" s="27"/>
      <c r="C934" s="33"/>
      <c r="D934" s="27"/>
    </row>
    <row r="935" spans="1:4" x14ac:dyDescent="0.2">
      <c r="A935" s="32"/>
      <c r="B935" s="27"/>
      <c r="C935" s="33"/>
      <c r="D935" s="27"/>
    </row>
    <row r="936" spans="1:4" x14ac:dyDescent="0.2">
      <c r="A936" s="32"/>
      <c r="B936" s="27"/>
      <c r="C936" s="33"/>
      <c r="D936" s="27"/>
    </row>
    <row r="937" spans="1:4" x14ac:dyDescent="0.2">
      <c r="A937" s="32"/>
      <c r="B937" s="27"/>
      <c r="C937" s="33"/>
      <c r="D937" s="27"/>
    </row>
    <row r="938" spans="1:4" x14ac:dyDescent="0.2">
      <c r="A938" s="32"/>
      <c r="B938" s="27"/>
      <c r="C938" s="33"/>
      <c r="D938" s="27"/>
    </row>
    <row r="939" spans="1:4" x14ac:dyDescent="0.2">
      <c r="A939" s="32"/>
      <c r="B939" s="27"/>
      <c r="C939" s="33"/>
      <c r="D939" s="27"/>
    </row>
    <row r="940" spans="1:4" x14ac:dyDescent="0.2">
      <c r="A940" s="32"/>
      <c r="B940" s="27"/>
      <c r="C940" s="33"/>
      <c r="D940" s="27"/>
    </row>
    <row r="941" spans="1:4" x14ac:dyDescent="0.2">
      <c r="A941" s="32"/>
      <c r="B941" s="27"/>
      <c r="C941" s="33"/>
      <c r="D941" s="27"/>
    </row>
    <row r="942" spans="1:4" x14ac:dyDescent="0.2">
      <c r="A942" s="32"/>
      <c r="B942" s="27"/>
      <c r="C942" s="33"/>
      <c r="D942" s="27"/>
    </row>
    <row r="943" spans="1:4" x14ac:dyDescent="0.2">
      <c r="A943" s="32"/>
      <c r="B943" s="27"/>
      <c r="C943" s="33"/>
      <c r="D943" s="27"/>
    </row>
    <row r="944" spans="1:4" x14ac:dyDescent="0.2">
      <c r="A944" s="32"/>
      <c r="B944" s="27"/>
      <c r="C944" s="33"/>
      <c r="D944" s="27"/>
    </row>
    <row r="945" spans="1:4" x14ac:dyDescent="0.2">
      <c r="A945" s="32"/>
      <c r="B945" s="27"/>
      <c r="C945" s="33"/>
      <c r="D945" s="27"/>
    </row>
    <row r="946" spans="1:4" x14ac:dyDescent="0.2">
      <c r="A946" s="32"/>
      <c r="B946" s="27"/>
      <c r="C946" s="33"/>
      <c r="D946" s="27"/>
    </row>
    <row r="947" spans="1:4" x14ac:dyDescent="0.2">
      <c r="A947" s="32"/>
      <c r="B947" s="27"/>
      <c r="C947" s="33"/>
      <c r="D947" s="27"/>
    </row>
    <row r="948" spans="1:4" x14ac:dyDescent="0.2">
      <c r="A948" s="32"/>
      <c r="B948" s="27"/>
      <c r="C948" s="33"/>
      <c r="D948" s="27"/>
    </row>
    <row r="949" spans="1:4" x14ac:dyDescent="0.2">
      <c r="A949" s="32"/>
      <c r="B949" s="27"/>
      <c r="C949" s="33"/>
      <c r="D949" s="27"/>
    </row>
    <row r="950" spans="1:4" x14ac:dyDescent="0.2">
      <c r="A950" s="32"/>
      <c r="B950" s="27"/>
      <c r="C950" s="33"/>
      <c r="D950" s="27"/>
    </row>
    <row r="951" spans="1:4" x14ac:dyDescent="0.2">
      <c r="A951" s="32"/>
      <c r="B951" s="27"/>
      <c r="C951" s="33"/>
      <c r="D951" s="27"/>
    </row>
    <row r="952" spans="1:4" x14ac:dyDescent="0.2">
      <c r="A952" s="32"/>
      <c r="B952" s="27"/>
      <c r="C952" s="33"/>
      <c r="D952" s="27"/>
    </row>
    <row r="953" spans="1:4" x14ac:dyDescent="0.2">
      <c r="A953" s="32"/>
      <c r="B953" s="27"/>
      <c r="C953" s="33"/>
      <c r="D953" s="27"/>
    </row>
    <row r="954" spans="1:4" x14ac:dyDescent="0.2">
      <c r="A954" s="32"/>
      <c r="B954" s="27"/>
      <c r="C954" s="33"/>
      <c r="D954" s="27"/>
    </row>
    <row r="955" spans="1:4" x14ac:dyDescent="0.2">
      <c r="A955" s="32"/>
      <c r="B955" s="27"/>
      <c r="C955" s="33"/>
      <c r="D955" s="27"/>
    </row>
    <row r="956" spans="1:4" x14ac:dyDescent="0.2">
      <c r="A956" s="32"/>
      <c r="B956" s="27"/>
      <c r="C956" s="33"/>
      <c r="D956" s="27"/>
    </row>
    <row r="957" spans="1:4" x14ac:dyDescent="0.2">
      <c r="A957" s="32"/>
      <c r="B957" s="27"/>
      <c r="C957" s="33"/>
      <c r="D957" s="27"/>
    </row>
    <row r="958" spans="1:4" x14ac:dyDescent="0.2">
      <c r="A958" s="32"/>
      <c r="B958" s="27"/>
      <c r="C958" s="33"/>
      <c r="D958" s="27"/>
    </row>
    <row r="959" spans="1:4" x14ac:dyDescent="0.2">
      <c r="A959" s="32"/>
      <c r="B959" s="27"/>
      <c r="C959" s="33"/>
      <c r="D959" s="27"/>
    </row>
    <row r="960" spans="1:4" x14ac:dyDescent="0.2">
      <c r="A960" s="32"/>
      <c r="B960" s="27"/>
      <c r="C960" s="33"/>
      <c r="D960" s="27"/>
    </row>
    <row r="961" spans="1:4" x14ac:dyDescent="0.2">
      <c r="A961" s="32"/>
      <c r="B961" s="27"/>
      <c r="C961" s="33"/>
      <c r="D961" s="27"/>
    </row>
    <row r="962" spans="1:4" x14ac:dyDescent="0.2">
      <c r="A962" s="32"/>
      <c r="B962" s="27"/>
      <c r="C962" s="33"/>
      <c r="D962" s="27"/>
    </row>
    <row r="963" spans="1:4" x14ac:dyDescent="0.2">
      <c r="A963" s="32"/>
      <c r="B963" s="27"/>
      <c r="C963" s="33"/>
      <c r="D963" s="27"/>
    </row>
    <row r="964" spans="1:4" x14ac:dyDescent="0.2">
      <c r="A964" s="32"/>
      <c r="B964" s="27"/>
      <c r="C964" s="33"/>
      <c r="D964" s="27"/>
    </row>
    <row r="965" spans="1:4" x14ac:dyDescent="0.2">
      <c r="A965" s="32"/>
      <c r="B965" s="27"/>
      <c r="C965" s="33"/>
      <c r="D965" s="27"/>
    </row>
    <row r="966" spans="1:4" x14ac:dyDescent="0.2">
      <c r="A966" s="32"/>
      <c r="B966" s="27"/>
      <c r="C966" s="33"/>
      <c r="D966" s="27"/>
    </row>
    <row r="967" spans="1:4" x14ac:dyDescent="0.2">
      <c r="A967" s="32"/>
      <c r="B967" s="27"/>
      <c r="C967" s="33"/>
      <c r="D967" s="27"/>
    </row>
    <row r="968" spans="1:4" x14ac:dyDescent="0.2">
      <c r="A968" s="32"/>
      <c r="B968" s="27"/>
      <c r="C968" s="33"/>
      <c r="D968" s="27"/>
    </row>
    <row r="969" spans="1:4" x14ac:dyDescent="0.2">
      <c r="A969" s="32"/>
      <c r="B969" s="27"/>
      <c r="C969" s="33"/>
      <c r="D969" s="27"/>
    </row>
    <row r="970" spans="1:4" x14ac:dyDescent="0.2">
      <c r="A970" s="32"/>
      <c r="B970" s="27"/>
      <c r="C970" s="33"/>
      <c r="D970" s="27"/>
    </row>
    <row r="971" spans="1:4" x14ac:dyDescent="0.2">
      <c r="A971" s="32"/>
      <c r="B971" s="27"/>
      <c r="C971" s="33"/>
      <c r="D971" s="27"/>
    </row>
    <row r="972" spans="1:4" x14ac:dyDescent="0.2">
      <c r="A972" s="32"/>
      <c r="B972" s="27"/>
      <c r="C972" s="33"/>
      <c r="D972" s="27"/>
    </row>
    <row r="973" spans="1:4" x14ac:dyDescent="0.2">
      <c r="A973" s="32"/>
      <c r="B973" s="27"/>
      <c r="C973" s="33"/>
      <c r="D973" s="27"/>
    </row>
    <row r="974" spans="1:4" x14ac:dyDescent="0.2">
      <c r="A974" s="32"/>
      <c r="B974" s="27"/>
      <c r="C974" s="33"/>
      <c r="D974" s="27"/>
    </row>
    <row r="975" spans="1:4" x14ac:dyDescent="0.2">
      <c r="A975" s="32"/>
      <c r="B975" s="27"/>
      <c r="C975" s="33"/>
      <c r="D975" s="27"/>
    </row>
    <row r="976" spans="1:4" x14ac:dyDescent="0.2">
      <c r="A976" s="32"/>
      <c r="B976" s="27"/>
      <c r="C976" s="33"/>
      <c r="D976" s="27"/>
    </row>
    <row r="977" spans="1:4" x14ac:dyDescent="0.2">
      <c r="A977" s="32"/>
      <c r="B977" s="27"/>
      <c r="C977" s="33"/>
      <c r="D977" s="27"/>
    </row>
    <row r="978" spans="1:4" x14ac:dyDescent="0.2">
      <c r="A978" s="32"/>
      <c r="B978" s="27"/>
      <c r="C978" s="33"/>
      <c r="D978" s="27"/>
    </row>
    <row r="979" spans="1:4" x14ac:dyDescent="0.2">
      <c r="A979" s="32"/>
      <c r="B979" s="27"/>
      <c r="C979" s="33"/>
      <c r="D979" s="27"/>
    </row>
    <row r="980" spans="1:4" x14ac:dyDescent="0.2">
      <c r="A980" s="32"/>
      <c r="B980" s="27"/>
      <c r="C980" s="33"/>
      <c r="D980" s="27"/>
    </row>
    <row r="981" spans="1:4" x14ac:dyDescent="0.2">
      <c r="A981" s="32"/>
      <c r="B981" s="27"/>
      <c r="C981" s="33"/>
      <c r="D981" s="27"/>
    </row>
    <row r="982" spans="1:4" x14ac:dyDescent="0.2">
      <c r="A982" s="32"/>
      <c r="B982" s="27"/>
      <c r="C982" s="33"/>
      <c r="D982" s="27"/>
    </row>
    <row r="983" spans="1:4" x14ac:dyDescent="0.2">
      <c r="A983" s="32"/>
      <c r="B983" s="27"/>
      <c r="C983" s="33"/>
      <c r="D983" s="27"/>
    </row>
    <row r="984" spans="1:4" x14ac:dyDescent="0.2">
      <c r="A984" s="32"/>
      <c r="B984" s="27"/>
      <c r="C984" s="33"/>
      <c r="D984" s="27"/>
    </row>
    <row r="985" spans="1:4" x14ac:dyDescent="0.2">
      <c r="A985" s="32"/>
      <c r="B985" s="27"/>
      <c r="C985" s="33"/>
      <c r="D985" s="27"/>
    </row>
    <row r="986" spans="1:4" x14ac:dyDescent="0.2">
      <c r="A986" s="32"/>
      <c r="B986" s="27"/>
      <c r="C986" s="33"/>
      <c r="D986" s="27"/>
    </row>
    <row r="987" spans="1:4" x14ac:dyDescent="0.2">
      <c r="A987" s="32"/>
      <c r="B987" s="27"/>
      <c r="C987" s="33"/>
      <c r="D987" s="27"/>
    </row>
    <row r="988" spans="1:4" x14ac:dyDescent="0.2">
      <c r="A988" s="32"/>
      <c r="B988" s="27"/>
      <c r="C988" s="33"/>
      <c r="D988" s="27"/>
    </row>
    <row r="989" spans="1:4" x14ac:dyDescent="0.2">
      <c r="A989" s="32"/>
      <c r="B989" s="27"/>
      <c r="C989" s="33"/>
      <c r="D989" s="27"/>
    </row>
    <row r="990" spans="1:4" x14ac:dyDescent="0.2">
      <c r="A990" s="32"/>
      <c r="B990" s="27"/>
      <c r="C990" s="33"/>
      <c r="D990" s="27"/>
    </row>
    <row r="991" spans="1:4" x14ac:dyDescent="0.2">
      <c r="A991" s="32"/>
      <c r="B991" s="27"/>
      <c r="C991" s="33"/>
      <c r="D991" s="27"/>
    </row>
    <row r="992" spans="1:4" x14ac:dyDescent="0.2">
      <c r="A992" s="32"/>
      <c r="B992" s="27"/>
      <c r="C992" s="33"/>
      <c r="D992" s="27"/>
    </row>
    <row r="993" spans="1:4" x14ac:dyDescent="0.2">
      <c r="A993" s="32"/>
      <c r="B993" s="27"/>
      <c r="C993" s="33"/>
      <c r="D993" s="27"/>
    </row>
    <row r="994" spans="1:4" x14ac:dyDescent="0.2">
      <c r="A994" s="32"/>
      <c r="B994" s="27"/>
      <c r="C994" s="33"/>
      <c r="D994" s="27"/>
    </row>
    <row r="995" spans="1:4" x14ac:dyDescent="0.2">
      <c r="A995" s="32"/>
      <c r="B995" s="27"/>
      <c r="C995" s="33"/>
      <c r="D995" s="27"/>
    </row>
    <row r="996" spans="1:4" x14ac:dyDescent="0.2">
      <c r="A996" s="32"/>
      <c r="B996" s="27"/>
      <c r="C996" s="33"/>
      <c r="D996" s="27"/>
    </row>
    <row r="997" spans="1:4" x14ac:dyDescent="0.2">
      <c r="A997" s="32"/>
      <c r="B997" s="27"/>
      <c r="C997" s="33"/>
      <c r="D997" s="27"/>
    </row>
    <row r="998" spans="1:4" x14ac:dyDescent="0.2">
      <c r="A998" s="32"/>
      <c r="B998" s="27"/>
      <c r="C998" s="33"/>
      <c r="D998" s="27"/>
    </row>
    <row r="999" spans="1:4" x14ac:dyDescent="0.2">
      <c r="A999" s="32"/>
      <c r="B999" s="27"/>
      <c r="C999" s="33"/>
      <c r="D999" s="27"/>
    </row>
    <row r="1000" spans="1:4" x14ac:dyDescent="0.2">
      <c r="A1000" s="32"/>
      <c r="B1000" s="27"/>
      <c r="C1000" s="33"/>
      <c r="D1000" s="27"/>
    </row>
    <row r="1001" spans="1:4" x14ac:dyDescent="0.2">
      <c r="A1001" s="32"/>
      <c r="B1001" s="27"/>
      <c r="C1001" s="33"/>
      <c r="D1001" s="27"/>
    </row>
    <row r="1002" spans="1:4" x14ac:dyDescent="0.2">
      <c r="A1002" s="32"/>
      <c r="B1002" s="27"/>
      <c r="C1002" s="33"/>
      <c r="D1002" s="27"/>
    </row>
    <row r="1003" spans="1:4" x14ac:dyDescent="0.2">
      <c r="A1003" s="32"/>
      <c r="B1003" s="27"/>
      <c r="C1003" s="33"/>
      <c r="D1003" s="27"/>
    </row>
    <row r="1004" spans="1:4" x14ac:dyDescent="0.2">
      <c r="A1004" s="32"/>
      <c r="B1004" s="27"/>
      <c r="C1004" s="33"/>
      <c r="D1004" s="27"/>
    </row>
  </sheetData>
  <sheetProtection sheet="1" formatColumns="0" formatRows="0" sort="0" autoFilter="0"/>
  <autoFilter ref="A4:D1004" xr:uid="{00000000-0009-0000-0000-000004000000}"/>
  <mergeCells count="2">
    <mergeCell ref="A1:D1"/>
    <mergeCell ref="A2:D2"/>
  </mergeCells>
  <dataValidations count="2">
    <dataValidation type="whole" operator="greaterThan" allowBlank="1" errorTitle="Invalid quantity" error="Enter a whole number greater than 0." sqref="C5:C1004" xr:uid="{00000000-0002-0000-0400-000000000000}">
      <formula1>0</formula1>
      <formula2>0</formula2>
    </dataValidation>
    <dataValidation type="date" operator="greaterThanOrEqual" allowBlank="1" errorTitle="Invalid date" error="Enter a valid date, e.g. 10/14/2026." sqref="A5:A1004" xr:uid="{00000000-0002-0000-0400-000001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showGridLines="0" zoomScaleNormal="100" workbookViewId="0">
      <selection activeCell="B8" sqref="B8"/>
    </sheetView>
  </sheetViews>
  <sheetFormatPr baseColWidth="10" defaultColWidth="8.6640625" defaultRowHeight="15" x14ac:dyDescent="0.2"/>
  <cols>
    <col min="1" max="1" width="46" customWidth="1"/>
    <col min="2" max="2" width="18" customWidth="1"/>
    <col min="3" max="3" width="70" customWidth="1"/>
    <col min="4" max="4" width="4" customWidth="1"/>
  </cols>
  <sheetData>
    <row r="1" spans="1:4" ht="33.75" customHeight="1" x14ac:dyDescent="0.2">
      <c r="A1" s="39" t="s">
        <v>105</v>
      </c>
      <c r="B1" s="39"/>
      <c r="C1" s="39"/>
      <c r="D1" s="39"/>
    </row>
    <row r="2" spans="1:4" ht="30" customHeight="1" x14ac:dyDescent="0.2">
      <c r="A2" s="40" t="s">
        <v>106</v>
      </c>
      <c r="B2" s="40"/>
      <c r="C2" s="40"/>
      <c r="D2" s="40"/>
    </row>
    <row r="4" spans="1:4" ht="27.75" customHeight="1" x14ac:dyDescent="0.2">
      <c r="A4" s="5" t="s">
        <v>107</v>
      </c>
      <c r="B4" s="32">
        <v>46309</v>
      </c>
      <c r="C4" s="36" t="s">
        <v>108</v>
      </c>
    </row>
    <row r="5" spans="1:4" ht="27.75" customHeight="1" x14ac:dyDescent="0.2">
      <c r="A5" s="5" t="s">
        <v>109</v>
      </c>
      <c r="B5" s="34">
        <v>60</v>
      </c>
      <c r="C5" s="36" t="s">
        <v>110</v>
      </c>
    </row>
    <row r="6" spans="1:4" ht="27.75" customHeight="1" x14ac:dyDescent="0.2">
      <c r="A6" s="5" t="s">
        <v>111</v>
      </c>
      <c r="B6" s="34">
        <v>120</v>
      </c>
      <c r="C6" s="36" t="s">
        <v>112</v>
      </c>
    </row>
    <row r="7" spans="1:4" ht="27.75" customHeight="1" x14ac:dyDescent="0.2">
      <c r="A7" s="5" t="s">
        <v>113</v>
      </c>
      <c r="B7" s="34">
        <v>300</v>
      </c>
      <c r="C7" s="36" t="s">
        <v>114</v>
      </c>
    </row>
    <row r="9" spans="1:4" x14ac:dyDescent="0.2">
      <c r="A9" s="35" t="s">
        <v>115</v>
      </c>
    </row>
    <row r="10" spans="1:4" x14ac:dyDescent="0.2">
      <c r="A10" s="5" t="s">
        <v>56</v>
      </c>
      <c r="B10" s="16">
        <f>SUM(Shipping!$C$5:$C$1004)</f>
        <v>0</v>
      </c>
      <c r="C10" s="36" t="s">
        <v>116</v>
      </c>
    </row>
    <row r="11" spans="1:4" x14ac:dyDescent="0.2">
      <c r="A11" s="5" t="s">
        <v>117</v>
      </c>
      <c r="B11" s="16">
        <f>SUMPRODUCT(Shipping!$A$5:$A$1004,Shipping!$C$5:$C$1004)</f>
        <v>0</v>
      </c>
      <c r="C11" s="36" t="s">
        <v>118</v>
      </c>
    </row>
    <row r="12" spans="1:4" x14ac:dyDescent="0.2">
      <c r="A12" s="5" t="s">
        <v>119</v>
      </c>
      <c r="B12" s="18">
        <f>SUMPRODUCT(Items!$I$5:$I$19,Items!$C$5:$C$19)</f>
        <v>142542</v>
      </c>
      <c r="C12" s="36" t="s">
        <v>120</v>
      </c>
    </row>
    <row r="13" spans="1:4" x14ac:dyDescent="0.2">
      <c r="A13" s="5" t="s">
        <v>121</v>
      </c>
      <c r="B13" s="16">
        <f ca="1">TODAY()-StartDate</f>
        <v>1</v>
      </c>
      <c r="C13" s="36"/>
    </row>
  </sheetData>
  <sheetProtection sheet="1" formatColumns="0" formatRows="0" sort="0" autoFilter="0"/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Instructions</vt:lpstr>
      <vt:lpstr>Dashboard</vt:lpstr>
      <vt:lpstr>Items</vt:lpstr>
      <vt:lpstr>Receiving</vt:lpstr>
      <vt:lpstr>Shipping</vt:lpstr>
      <vt:lpstr>Settings</vt:lpstr>
      <vt:lpstr>Age30</vt:lpstr>
      <vt:lpstr>Age60</vt:lpstr>
      <vt:lpstr>Age90</vt:lpstr>
      <vt:lpstr>OpenAge</vt:lpstr>
      <vt:lpstr>OpenVal</vt:lpstr>
      <vt:lpstr>ShipDateUnits</vt:lpstr>
      <vt:lpstr>StartDate</vt:lpstr>
      <vt:lpstr>TotalShipped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Tarik Archer</cp:lastModifiedBy>
  <cp:revision>1</cp:revision>
  <dcterms:created xsi:type="dcterms:W3CDTF">2026-10-15T02:38:53Z</dcterms:created>
  <dcterms:modified xsi:type="dcterms:W3CDTF">2026-10-15T20:09:17Z</dcterms:modified>
  <cp:category/>
  <cp:contentStatus/>
</cp:coreProperties>
</file>